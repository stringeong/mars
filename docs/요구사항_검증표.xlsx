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기능 요구사항" sheetId="2" state="visible" r:id="rId2"/>
    <sheet name="비기능·기타" sheetId="3" state="visible" r:id="rId3"/>
  </sheets>
  <definedNames>
    <definedName name="_xlnm._FilterDatabase" localSheetId="1" hidden="1">'기능 요구사항'!$A$1:$H$74</definedName>
    <definedName name="_xlnm._FilterDatabase" localSheetId="2" hidden="1">'비기능·기타'!$A$1:$H$23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color rgb="006B7280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5803D"/>
      <sz val="10"/>
    </font>
    <font>
      <name val="Arial"/>
      <b val="1"/>
      <color rgb="00A16207"/>
      <sz val="10"/>
    </font>
    <font>
      <name val="Arial"/>
      <b val="1"/>
      <color rgb="00B91C1C"/>
      <sz val="10"/>
    </font>
  </fonts>
  <fills count="7">
    <fill>
      <patternFill/>
    </fill>
    <fill>
      <patternFill patternType="gray125"/>
    </fill>
    <fill>
      <patternFill patternType="solid">
        <fgColor rgb="003730A3"/>
      </patternFill>
    </fill>
    <fill>
      <patternFill patternType="solid">
        <fgColor rgb="00EEF2FF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3" fillId="3" borderId="1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2">
      <c r="B2" s="1" t="inlineStr">
        <is>
          <t>M.A.R.S 요구사항 검증표</t>
        </is>
      </c>
    </row>
    <row r="3">
      <c r="B3" s="2" t="inlineStr">
        <is>
          <t>소프트웨어 요구사항 정의서(UC-101~206, F1/F2, NF, OR) 대비 구현·검증 현황</t>
        </is>
      </c>
    </row>
    <row r="5">
      <c r="B5" s="3" t="inlineStr">
        <is>
          <t>프로젝트</t>
        </is>
      </c>
      <c r="C5" s="4" t="inlineStr">
        <is>
          <t>M.A.R.S — MAS And Resource Sharing (충북대 SW학부 졸업작품)</t>
        </is>
      </c>
    </row>
    <row r="6">
      <c r="B6" s="3" t="inlineStr">
        <is>
          <t>작성일</t>
        </is>
      </c>
      <c r="C6" s="4" t="inlineStr">
        <is>
          <t>2026-07-13</t>
        </is>
      </c>
    </row>
    <row r="7">
      <c r="B7" s="3" t="inlineStr">
        <is>
          <t>검증 기준</t>
        </is>
      </c>
      <c r="C7" s="4" t="inlineStr">
        <is>
          <t>E2E 자동 테스트 34항목, 실기기·실LLM 데모, 동시성/샌드박스 테스트, 코드 검토</t>
        </is>
      </c>
    </row>
    <row r="8">
      <c r="B8" s="3" t="inlineStr">
        <is>
          <t>저장소</t>
        </is>
      </c>
      <c r="C8" s="4" t="inlineStr">
        <is>
          <t>https://github.com/stringeong/mars</t>
        </is>
      </c>
    </row>
    <row r="11">
      <c r="B11" s="5" t="inlineStr">
        <is>
          <t>구분</t>
        </is>
      </c>
      <c r="C11" s="5" t="inlineStr">
        <is>
          <t>구현 완료</t>
        </is>
      </c>
      <c r="D11" s="5" t="inlineStr">
        <is>
          <t>부분 구현</t>
        </is>
      </c>
      <c r="E11" s="5" t="inlineStr">
        <is>
          <t>미구현</t>
        </is>
      </c>
      <c r="F11" s="5" t="inlineStr">
        <is>
          <t>합계</t>
        </is>
      </c>
    </row>
    <row r="12">
      <c r="B12" s="6" t="inlineStr">
        <is>
          <t>기능 요구사항 (F1/F2)</t>
        </is>
      </c>
      <c r="C12" s="7">
        <f>COUNTIF('기능 요구사항'!$E$2:$E$74,"구현 완료")</f>
        <v/>
      </c>
      <c r="D12" s="7">
        <f>COUNTIF('기능 요구사항'!$E$2:$E$74,"부분 구현")</f>
        <v/>
      </c>
      <c r="E12" s="7">
        <f>COUNTIF('기능 요구사항'!$E$2:$E$74,"미구현")</f>
        <v/>
      </c>
      <c r="F12" s="8">
        <f>SUM(C12:E12)</f>
        <v/>
      </c>
    </row>
    <row r="13">
      <c r="B13" s="6" t="inlineStr">
        <is>
          <t>비기능·기타 (NF/OR)</t>
        </is>
      </c>
      <c r="C13" s="7">
        <f>COUNTIF('비기능·기타'!$E$2:$E$23,"구현 완료")</f>
        <v/>
      </c>
      <c r="D13" s="7">
        <f>COUNTIF('비기능·기타'!$E$2:$E$23,"부분 구현")</f>
        <v/>
      </c>
      <c r="E13" s="7">
        <f>COUNTIF('비기능·기타'!$E$2:$E$23,"미구현")</f>
        <v/>
      </c>
      <c r="F13" s="8">
        <f>SUM(C13:E13)</f>
        <v/>
      </c>
    </row>
    <row r="14">
      <c r="B14" s="9" t="inlineStr">
        <is>
          <t>전체</t>
        </is>
      </c>
      <c r="C14" s="10">
        <f>SUM(C12:C13)</f>
        <v/>
      </c>
      <c r="D14" s="10">
        <f>SUM(D12:D13)</f>
        <v/>
      </c>
      <c r="E14" s="10">
        <f>SUM(E12:E13)</f>
        <v/>
      </c>
      <c r="F14" s="10">
        <f>SUM(F12:F13)</f>
        <v/>
      </c>
    </row>
    <row r="16">
      <c r="B16" s="3" t="inlineStr">
        <is>
          <t>구현 완료율 (완료/전체)</t>
        </is>
      </c>
      <c r="C16" s="11">
        <f>C14/F14</f>
        <v/>
      </c>
    </row>
    <row r="18">
      <c r="B18" s="3" t="inlineStr">
        <is>
          <t>상태 범례</t>
        </is>
      </c>
    </row>
    <row r="19">
      <c r="B19" s="12" t="inlineStr">
        <is>
          <t>구현 완료</t>
        </is>
      </c>
      <c r="C19" s="4" t="inlineStr">
        <is>
          <t>요구 기능이 동작하며 테스트/데모/코드 검토로 확인됨</t>
        </is>
      </c>
    </row>
    <row r="20">
      <c r="B20" s="13" t="inlineStr">
        <is>
          <t>부분 구현</t>
        </is>
      </c>
      <c r="C20" s="4" t="inlineStr">
        <is>
          <t>핵심은 동작하나 요구사항 일부 미충족 (비고 참조)</t>
        </is>
      </c>
    </row>
    <row r="21">
      <c r="B21" s="14" t="inlineStr">
        <is>
          <t>미구현</t>
        </is>
      </c>
      <c r="C21" s="4" t="inlineStr">
        <is>
          <t>미착수 — 차기 단계(캡스톤2) 반영 예정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30" customWidth="1" min="4" max="4"/>
    <col width="11" customWidth="1" min="5" max="5"/>
    <col width="32" customWidth="1" min="6" max="6"/>
    <col width="30" customWidth="1" min="7" max="7"/>
    <col width="38" customWidth="1" min="8" max="8"/>
  </cols>
  <sheetData>
    <row r="1">
      <c r="A1" s="5" t="inlineStr">
        <is>
          <t>요구사항 ID</t>
        </is>
      </c>
      <c r="B1" s="5" t="inlineStr">
        <is>
          <t>유즈케이스/분류</t>
        </is>
      </c>
      <c r="C1" s="5" t="inlineStr">
        <is>
          <t>요구사항명</t>
        </is>
      </c>
      <c r="D1" s="5" t="inlineStr">
        <is>
          <t>요구 내용</t>
        </is>
      </c>
      <c r="E1" s="5" t="inlineStr">
        <is>
          <t>구현 상태</t>
        </is>
      </c>
      <c r="F1" s="5" t="inlineStr">
        <is>
          <t>구현 위치</t>
        </is>
      </c>
      <c r="G1" s="5" t="inlineStr">
        <is>
          <t>검증 방법</t>
        </is>
      </c>
      <c r="H1" s="5" t="inlineStr">
        <is>
          <t>비고</t>
        </is>
      </c>
    </row>
    <row r="2">
      <c r="A2" s="15" t="inlineStr">
        <is>
          <t>F1-101</t>
        </is>
      </c>
      <c r="B2" s="16" t="inlineStr">
        <is>
          <t>UC-101 회원가입</t>
        </is>
      </c>
      <c r="C2" s="16" t="inlineStr">
        <is>
          <t>회원가입 양식 제공</t>
        </is>
      </c>
      <c r="D2" s="16" t="inlineStr">
        <is>
          <t>계정 생성 양식 제공</t>
        </is>
      </c>
      <c r="E2" s="12" t="inlineStr">
        <is>
          <t>구현 완료</t>
        </is>
      </c>
      <c r="F2" s="16" t="inlineStr">
        <is>
          <t>web/src/pages/LoginPage.tsx</t>
        </is>
      </c>
      <c r="G2" s="16" t="inlineStr">
        <is>
          <t>E2E 자동 테스트 + 화면 확인</t>
        </is>
      </c>
      <c r="H2" s="16" t="inlineStr"/>
    </row>
    <row r="3">
      <c r="A3" s="7" t="inlineStr">
        <is>
          <t>F1-102</t>
        </is>
      </c>
      <c r="B3" s="6" t="inlineStr">
        <is>
          <t>UC-101 회원가입</t>
        </is>
      </c>
      <c r="C3" s="6" t="inlineStr">
        <is>
          <t>회원정보 입력</t>
        </is>
      </c>
      <c r="D3" s="6" t="inlineStr">
        <is>
          <t>이메일·아이디·비밀번호 입력</t>
        </is>
      </c>
      <c r="E3" s="12" t="inlineStr">
        <is>
          <t>구현 완료</t>
        </is>
      </c>
      <c r="F3" s="6" t="inlineStr">
        <is>
          <t>web/src/pages/LoginPage.tsx</t>
        </is>
      </c>
      <c r="G3" s="6" t="inlineStr">
        <is>
          <t>E2E 자동 테스트</t>
        </is>
      </c>
      <c r="H3" s="6" t="inlineStr"/>
    </row>
    <row r="4">
      <c r="A4" s="7" t="inlineStr">
        <is>
          <t>F1-103</t>
        </is>
      </c>
      <c r="B4" s="6" t="inlineStr">
        <is>
          <t>UC-101 회원가입</t>
        </is>
      </c>
      <c r="C4" s="6" t="inlineStr">
        <is>
          <t>입력값 검증</t>
        </is>
      </c>
      <c r="D4" s="6" t="inlineStr">
        <is>
          <t>양식(형식·길이) 검증</t>
        </is>
      </c>
      <c r="E4" s="12" t="inlineStr">
        <is>
          <t>구현 완료</t>
        </is>
      </c>
      <c r="F4" s="6" t="inlineStr">
        <is>
          <t>server/app/schemas.py (UserCreate)</t>
        </is>
      </c>
      <c r="G4" s="6" t="inlineStr">
        <is>
          <t>E2E 자동 테스트</t>
        </is>
      </c>
      <c r="H4" s="6" t="inlineStr">
        <is>
          <t>이메일 형식, 아이디 3자+, 비밀번호 6자+</t>
        </is>
      </c>
    </row>
    <row r="5">
      <c r="A5" s="7" t="inlineStr">
        <is>
          <t>F1-104</t>
        </is>
      </c>
      <c r="B5" s="6" t="inlineStr">
        <is>
          <t>UC-101 회원가입</t>
        </is>
      </c>
      <c r="C5" s="6" t="inlineStr">
        <is>
          <t>중복 검증</t>
        </is>
      </c>
      <c r="D5" s="6" t="inlineStr">
        <is>
          <t>아이디·이메일 중복 확인</t>
        </is>
      </c>
      <c r="E5" s="12" t="inlineStr">
        <is>
          <t>구현 완료</t>
        </is>
      </c>
      <c r="F5" s="6" t="inlineStr">
        <is>
          <t>server/app/routers/auth.py</t>
        </is>
      </c>
      <c r="G5" s="6" t="inlineStr">
        <is>
          <t>E2E '아이디 중복 거부'</t>
        </is>
      </c>
      <c r="H5" s="6" t="inlineStr">
        <is>
          <t>409 응답</t>
        </is>
      </c>
    </row>
    <row r="6">
      <c r="A6" s="7" t="inlineStr">
        <is>
          <t>F1-105</t>
        </is>
      </c>
      <c r="B6" s="6" t="inlineStr">
        <is>
          <t>UC-101 회원가입</t>
        </is>
      </c>
      <c r="C6" s="6" t="inlineStr">
        <is>
          <t>계정 생성</t>
        </is>
      </c>
      <c r="D6" s="6" t="inlineStr">
        <is>
          <t>유효 시 계정 생성</t>
        </is>
      </c>
      <c r="E6" s="12" t="inlineStr">
        <is>
          <t>구현 완료</t>
        </is>
      </c>
      <c r="F6" s="6" t="inlineStr">
        <is>
          <t>server/app/routers/auth.py</t>
        </is>
      </c>
      <c r="G6" s="6" t="inlineStr">
        <is>
          <t>E2E '회원가입'</t>
        </is>
      </c>
      <c r="H6" s="6" t="inlineStr">
        <is>
          <t>비밀번호 pbkdf2 해시 저장</t>
        </is>
      </c>
    </row>
    <row r="7">
      <c r="A7" s="7" t="inlineStr">
        <is>
          <t>F1-106</t>
        </is>
      </c>
      <c r="B7" s="6" t="inlineStr">
        <is>
          <t>UC-101 회원가입</t>
        </is>
      </c>
      <c r="C7" s="6" t="inlineStr">
        <is>
          <t>가입 결과 제공</t>
        </is>
      </c>
      <c r="D7" s="6" t="inlineStr">
        <is>
          <t>성공/실패 결과 제공</t>
        </is>
      </c>
      <c r="E7" s="12" t="inlineStr">
        <is>
          <t>구현 완료</t>
        </is>
      </c>
      <c r="F7" s="6" t="inlineStr">
        <is>
          <t>web + API 응답</t>
        </is>
      </c>
      <c r="G7" s="6" t="inlineStr">
        <is>
          <t>E2E + 화면 확인</t>
        </is>
      </c>
      <c r="H7" s="6" t="inlineStr"/>
    </row>
    <row r="8">
      <c r="A8" s="7" t="inlineStr">
        <is>
          <t>F1-107</t>
        </is>
      </c>
      <c r="B8" s="6" t="inlineStr">
        <is>
          <t>UC-101 회원가입</t>
        </is>
      </c>
      <c r="C8" s="6" t="inlineStr">
        <is>
          <t>오류 메시지 제공</t>
        </is>
      </c>
      <c r="D8" s="6" t="inlineStr">
        <is>
          <t>중복 시 오류 메시지</t>
        </is>
      </c>
      <c r="E8" s="12" t="inlineStr">
        <is>
          <t>구현 완료</t>
        </is>
      </c>
      <c r="F8" s="6" t="inlineStr">
        <is>
          <t>server/app/routers/auth.py</t>
        </is>
      </c>
      <c r="G8" s="6" t="inlineStr">
        <is>
          <t>E2E 자동 테스트</t>
        </is>
      </c>
      <c r="H8" s="6" t="inlineStr"/>
    </row>
    <row r="9">
      <c r="A9" s="15" t="inlineStr">
        <is>
          <t>F1-201</t>
        </is>
      </c>
      <c r="B9" s="16" t="inlineStr">
        <is>
          <t>UC-102 로그인</t>
        </is>
      </c>
      <c r="C9" s="16" t="inlineStr">
        <is>
          <t>로그인 양식 제공</t>
        </is>
      </c>
      <c r="D9" s="16" t="inlineStr">
        <is>
          <t>로그인 양식 제공</t>
        </is>
      </c>
      <c r="E9" s="12" t="inlineStr">
        <is>
          <t>구현 완료</t>
        </is>
      </c>
      <c r="F9" s="16" t="inlineStr">
        <is>
          <t>web/src/pages/LoginPage.tsx</t>
        </is>
      </c>
      <c r="G9" s="16" t="inlineStr">
        <is>
          <t>화면 확인</t>
        </is>
      </c>
      <c r="H9" s="16" t="inlineStr"/>
    </row>
    <row r="10">
      <c r="A10" s="7" t="inlineStr">
        <is>
          <t>F1-202</t>
        </is>
      </c>
      <c r="B10" s="6" t="inlineStr">
        <is>
          <t>UC-102 로그인</t>
        </is>
      </c>
      <c r="C10" s="6" t="inlineStr">
        <is>
          <t>로그인 입력</t>
        </is>
      </c>
      <c r="D10" s="6" t="inlineStr">
        <is>
          <t>아이디·비밀번호 입력</t>
        </is>
      </c>
      <c r="E10" s="12" t="inlineStr">
        <is>
          <t>구현 완료</t>
        </is>
      </c>
      <c r="F10" s="6" t="inlineStr">
        <is>
          <t>web/src/pages/LoginPage.tsx</t>
        </is>
      </c>
      <c r="G10" s="6" t="inlineStr">
        <is>
          <t>E2E 자동 테스트</t>
        </is>
      </c>
      <c r="H10" s="6" t="inlineStr"/>
    </row>
    <row r="11">
      <c r="A11" s="7" t="inlineStr">
        <is>
          <t>F1-203</t>
        </is>
      </c>
      <c r="B11" s="6" t="inlineStr">
        <is>
          <t>UC-102 로그인</t>
        </is>
      </c>
      <c r="C11" s="6" t="inlineStr">
        <is>
          <t>사용자 인증</t>
        </is>
      </c>
      <c r="D11" s="6" t="inlineStr">
        <is>
          <t>계정 정보 일치 확인</t>
        </is>
      </c>
      <c r="E11" s="12" t="inlineStr">
        <is>
          <t>구현 완료</t>
        </is>
      </c>
      <c r="F11" s="6" t="inlineStr">
        <is>
          <t>server/app/security.py</t>
        </is>
      </c>
      <c r="G11" s="6" t="inlineStr">
        <is>
          <t>E2E '로그인'</t>
        </is>
      </c>
      <c r="H11" s="6" t="inlineStr">
        <is>
          <t>JWT 발급</t>
        </is>
      </c>
    </row>
    <row r="12">
      <c r="A12" s="7" t="inlineStr">
        <is>
          <t>F1-204</t>
        </is>
      </c>
      <c r="B12" s="6" t="inlineStr">
        <is>
          <t>UC-102 로그인</t>
        </is>
      </c>
      <c r="C12" s="6" t="inlineStr">
        <is>
          <t>로그인 성공 처리</t>
        </is>
      </c>
      <c r="D12" s="6" t="inlineStr">
        <is>
          <t>인증 성공 시 서비스 접근</t>
        </is>
      </c>
      <c r="E12" s="12" t="inlineStr">
        <is>
          <t>구현 완료</t>
        </is>
      </c>
      <c r="F12" s="6" t="inlineStr">
        <is>
          <t>전체 라우트 JWT 검사</t>
        </is>
      </c>
      <c r="G12" s="6" t="inlineStr">
        <is>
          <t>E2E + 화면 확인</t>
        </is>
      </c>
      <c r="H12" s="6" t="inlineStr"/>
    </row>
    <row r="13">
      <c r="A13" s="7" t="inlineStr">
        <is>
          <t>F1-205</t>
        </is>
      </c>
      <c r="B13" s="6" t="inlineStr">
        <is>
          <t>UC-102 로그인</t>
        </is>
      </c>
      <c r="C13" s="6" t="inlineStr">
        <is>
          <t>로그인 실패 메시지</t>
        </is>
      </c>
      <c r="D13" s="6" t="inlineStr">
        <is>
          <t>인증 실패 시 메시지</t>
        </is>
      </c>
      <c r="E13" s="12" t="inlineStr">
        <is>
          <t>구현 완료</t>
        </is>
      </c>
      <c r="F13" s="6" t="inlineStr">
        <is>
          <t>server/app/routers/auth.py</t>
        </is>
      </c>
      <c r="G13" s="6" t="inlineStr">
        <is>
          <t>E2E '로그인 실패 처리'</t>
        </is>
      </c>
      <c r="H13" s="6" t="inlineStr">
        <is>
          <t>401 응답</t>
        </is>
      </c>
    </row>
    <row r="14">
      <c r="A14" s="15" t="inlineStr">
        <is>
          <t>F1-301</t>
        </is>
      </c>
      <c r="B14" s="16" t="inlineStr">
        <is>
          <t>UC-103 기기 등록</t>
        </is>
      </c>
      <c r="C14" s="16" t="inlineStr">
        <is>
          <t>기기명 입력</t>
        </is>
      </c>
      <c r="D14" s="16" t="inlineStr">
        <is>
          <t>등록할 기기 명칭 입력</t>
        </is>
      </c>
      <c r="E14" s="12" t="inlineStr">
        <is>
          <t>구현 완료</t>
        </is>
      </c>
      <c r="F14" s="16" t="inlineStr">
        <is>
          <t>worker/agent/main.py (register CLI)</t>
        </is>
      </c>
      <c r="G14" s="16" t="inlineStr">
        <is>
          <t>실기기 등록 데모</t>
        </is>
      </c>
      <c r="H14" s="16" t="inlineStr"/>
    </row>
    <row r="15">
      <c r="A15" s="7" t="inlineStr">
        <is>
          <t>F1-302</t>
        </is>
      </c>
      <c r="B15" s="6" t="inlineStr">
        <is>
          <t>UC-103 기기 등록</t>
        </is>
      </c>
      <c r="C15" s="6" t="inlineStr">
        <is>
          <t>접근 권한 범위 지정</t>
        </is>
      </c>
      <c r="D15" s="6" t="inlineStr">
        <is>
          <t>허용 파일/폴더 범위 지정</t>
        </is>
      </c>
      <c r="E15" s="12" t="inlineStr">
        <is>
          <t>구현 완료</t>
        </is>
      </c>
      <c r="F15" s="6" t="inlineStr">
        <is>
          <t>worker/agent/main.py (register CLI)</t>
        </is>
      </c>
      <c r="G15" s="6" t="inlineStr">
        <is>
          <t>실기기 데모 + 샌드박스 테스트</t>
        </is>
      </c>
      <c r="H15" s="6" t="inlineStr">
        <is>
          <t>허용 폴더 목록 입력</t>
        </is>
      </c>
    </row>
    <row r="16">
      <c r="A16" s="7" t="inlineStr">
        <is>
          <t>F1-303</t>
        </is>
      </c>
      <c r="B16" s="6" t="inlineStr">
        <is>
          <t>UC-103 기기 등록</t>
        </is>
      </c>
      <c r="C16" s="6" t="inlineStr">
        <is>
          <t>기기 정보 자동 수집</t>
        </is>
      </c>
      <c r="D16" s="6" t="inlineStr">
        <is>
          <t>OS·CPU·RAM 자동 수집</t>
        </is>
      </c>
      <c r="E16" s="12" t="inlineStr">
        <is>
          <t>구현 완료</t>
        </is>
      </c>
      <c r="F16" s="6" t="inlineStr">
        <is>
          <t>worker/agent/main.py collect_specs()</t>
        </is>
      </c>
      <c r="G16" s="6" t="inlineStr">
        <is>
          <t>실기기 데모 (사양 화면 표시)</t>
        </is>
      </c>
      <c r="H16" s="6" t="inlineStr">
        <is>
          <t>psutil 사용</t>
        </is>
      </c>
    </row>
    <row r="17">
      <c r="A17" s="7" t="inlineStr">
        <is>
          <t>F1-304</t>
        </is>
      </c>
      <c r="B17" s="6" t="inlineStr">
        <is>
          <t>UC-103 기기 등록</t>
        </is>
      </c>
      <c r="C17" s="6" t="inlineStr">
        <is>
          <t>기기 정보 수동 입력</t>
        </is>
      </c>
      <c r="D17" s="6" t="inlineStr">
        <is>
          <t>자동 수집 실패 시 수동 입력</t>
        </is>
      </c>
      <c r="E17" s="14" t="inlineStr">
        <is>
          <t>미구현</t>
        </is>
      </c>
      <c r="F17" s="6" t="inlineStr">
        <is>
          <t>-</t>
        </is>
      </c>
      <c r="G17" s="6" t="inlineStr">
        <is>
          <t>-</t>
        </is>
      </c>
      <c r="H17" s="6" t="inlineStr">
        <is>
          <t>예외 흐름 e501, 차기 단계 반영 예정</t>
        </is>
      </c>
    </row>
    <row r="18">
      <c r="A18" s="7" t="inlineStr">
        <is>
          <t>F1-305</t>
        </is>
      </c>
      <c r="B18" s="6" t="inlineStr">
        <is>
          <t>UC-103 기기 등록</t>
        </is>
      </c>
      <c r="C18" s="6" t="inlineStr">
        <is>
          <t>등록 가능 여부 검증</t>
        </is>
      </c>
      <c r="D18" s="6" t="inlineStr">
        <is>
          <t>기기·권한 정보 기반 검증</t>
        </is>
      </c>
      <c r="E18" s="13" t="inlineStr">
        <is>
          <t>부분 구현</t>
        </is>
      </c>
      <c r="F18" s="6" t="inlineStr">
        <is>
          <t>server/app/routers/devices.py</t>
        </is>
      </c>
      <c r="G18" s="6" t="inlineStr">
        <is>
          <t>코드 검토</t>
        </is>
      </c>
      <c r="H18" s="6" t="inlineStr">
        <is>
          <t>중복 검사만 수행, 사양 기반 검증 없음</t>
        </is>
      </c>
    </row>
    <row r="19">
      <c r="A19" s="7" t="inlineStr">
        <is>
          <t>F1-306</t>
        </is>
      </c>
      <c r="B19" s="6" t="inlineStr">
        <is>
          <t>UC-103 기기 등록</t>
        </is>
      </c>
      <c r="C19" s="6" t="inlineStr">
        <is>
          <t>기기명 중복 검증</t>
        </is>
      </c>
      <c r="D19" s="6" t="inlineStr">
        <is>
          <t>동일 계정 내 기기명 중복 확인</t>
        </is>
      </c>
      <c r="E19" s="12" t="inlineStr">
        <is>
          <t>구현 완료</t>
        </is>
      </c>
      <c r="F19" s="6" t="inlineStr">
        <is>
          <t>server/app/routers/devices.py</t>
        </is>
      </c>
      <c r="G19" s="6" t="inlineStr">
        <is>
          <t>E2E '기기명 중복 거부'</t>
        </is>
      </c>
      <c r="H19" s="6" t="inlineStr">
        <is>
          <t>409 응답 (e601)</t>
        </is>
      </c>
    </row>
    <row r="20">
      <c r="A20" s="7" t="inlineStr">
        <is>
          <t>F1-307</t>
        </is>
      </c>
      <c r="B20" s="6" t="inlineStr">
        <is>
          <t>UC-103 기기 등록</t>
        </is>
      </c>
      <c r="C20" s="6" t="inlineStr">
        <is>
          <t>기기 등록</t>
        </is>
      </c>
      <c r="D20" s="6" t="inlineStr">
        <is>
          <t>조건 충족 시 계정에 등록</t>
        </is>
      </c>
      <c r="E20" s="12" t="inlineStr">
        <is>
          <t>구현 완료</t>
        </is>
      </c>
      <c r="F20" s="6" t="inlineStr">
        <is>
          <t>server/app/routers/devices.py</t>
        </is>
      </c>
      <c r="G20" s="6" t="inlineStr">
        <is>
          <t>E2E '기기 등록'</t>
        </is>
      </c>
      <c r="H20" s="6" t="inlineStr">
        <is>
          <t>기기별 api_key 발급</t>
        </is>
      </c>
    </row>
    <row r="21">
      <c r="A21" s="7" t="inlineStr">
        <is>
          <t>F1-308</t>
        </is>
      </c>
      <c r="B21" s="6" t="inlineStr">
        <is>
          <t>UC-103 기기 등록</t>
        </is>
      </c>
      <c r="C21" s="6" t="inlineStr">
        <is>
          <t>등록 결과 제공</t>
        </is>
      </c>
      <c r="D21" s="6" t="inlineStr">
        <is>
          <t>성공/실패 결과 제공</t>
        </is>
      </c>
      <c r="E21" s="12" t="inlineStr">
        <is>
          <t>구현 완료</t>
        </is>
      </c>
      <c r="F21" s="6" t="inlineStr">
        <is>
          <t>API 응답 + CLI 출력</t>
        </is>
      </c>
      <c r="G21" s="6" t="inlineStr">
        <is>
          <t>E2E + 데모</t>
        </is>
      </c>
      <c r="H21" s="6" t="inlineStr"/>
    </row>
    <row r="22">
      <c r="A22" s="15" t="inlineStr">
        <is>
          <t>F1-401</t>
        </is>
      </c>
      <c r="B22" s="16" t="inlineStr">
        <is>
          <t>UC-104 기기 상태</t>
        </is>
      </c>
      <c r="C22" s="16" t="inlineStr">
        <is>
          <t>기기 목록 조회</t>
        </is>
      </c>
      <c r="D22" s="16" t="inlineStr">
        <is>
          <t>등록 기기 목록 조회</t>
        </is>
      </c>
      <c r="E22" s="12" t="inlineStr">
        <is>
          <t>구현 완료</t>
        </is>
      </c>
      <c r="F22" s="16" t="inlineStr">
        <is>
          <t>web/src/pages/DevicesPage.tsx</t>
        </is>
      </c>
      <c r="G22" s="16" t="inlineStr">
        <is>
          <t>화면 확인</t>
        </is>
      </c>
      <c r="H22" s="16" t="inlineStr">
        <is>
          <t>5초 주기 자동 갱신</t>
        </is>
      </c>
    </row>
    <row r="23">
      <c r="A23" s="7" t="inlineStr">
        <is>
          <t>F1-402</t>
        </is>
      </c>
      <c r="B23" s="6" t="inlineStr">
        <is>
          <t>UC-104 기기 상태</t>
        </is>
      </c>
      <c r="C23" s="6" t="inlineStr">
        <is>
          <t>기기 사양 제공</t>
        </is>
      </c>
      <c r="D23" s="6" t="inlineStr">
        <is>
          <t>명칭·수집 정보 제공</t>
        </is>
      </c>
      <c r="E23" s="12" t="inlineStr">
        <is>
          <t>구현 완료</t>
        </is>
      </c>
      <c r="F23" s="6" t="inlineStr">
        <is>
          <t>web/src/pages/DevicesPage.tsx</t>
        </is>
      </c>
      <c r="G23" s="6" t="inlineStr">
        <is>
          <t>화면 확인</t>
        </is>
      </c>
      <c r="H23" s="6" t="inlineStr"/>
    </row>
    <row r="24">
      <c r="A24" s="7" t="inlineStr">
        <is>
          <t>F1-403</t>
        </is>
      </c>
      <c r="B24" s="6" t="inlineStr">
        <is>
          <t>UC-104 기기 상태</t>
        </is>
      </c>
      <c r="C24" s="6" t="inlineStr">
        <is>
          <t>연결 상태 제공</t>
        </is>
      </c>
      <c r="D24" s="6" t="inlineStr">
        <is>
          <t>기기 연결 상태 표시</t>
        </is>
      </c>
      <c r="E24" s="12" t="inlineStr">
        <is>
          <t>구현 완료</t>
        </is>
      </c>
      <c r="F24" s="6" t="inlineStr">
        <is>
          <t>orchestrator.device_is_online()</t>
        </is>
      </c>
      <c r="G24" s="6" t="inlineStr">
        <is>
          <t>E2E '하트비트 후 online 표시'</t>
        </is>
      </c>
      <c r="H24" s="6" t="inlineStr">
        <is>
          <t>하트비트 30초 기준</t>
        </is>
      </c>
    </row>
    <row r="25">
      <c r="A25" s="7" t="inlineStr">
        <is>
          <t>F1-404</t>
        </is>
      </c>
      <c r="B25" s="6" t="inlineStr">
        <is>
          <t>UC-104 기기 상태</t>
        </is>
      </c>
      <c r="C25" s="6" t="inlineStr">
        <is>
          <t>활성화 상태 제공</t>
        </is>
      </c>
      <c r="D25" s="6" t="inlineStr">
        <is>
          <t>작업 실행 가능 상태 표시</t>
        </is>
      </c>
      <c r="E25" s="13" t="inlineStr">
        <is>
          <t>부분 구현</t>
        </is>
      </c>
      <c r="F25" s="6" t="inlineStr">
        <is>
          <t>web/src/pages/DevicesPage.tsx</t>
        </is>
      </c>
      <c r="G25" s="6" t="inlineStr">
        <is>
          <t>화면 확인</t>
        </is>
      </c>
      <c r="H25" s="6" t="inlineStr">
        <is>
          <t>온라인 여부로 통합 표시, 작업 중/유휴 구분 없음</t>
        </is>
      </c>
    </row>
    <row r="26">
      <c r="A26" s="7" t="inlineStr">
        <is>
          <t>F1-405</t>
        </is>
      </c>
      <c r="B26" s="6" t="inlineStr">
        <is>
          <t>UC-104 기기 상태</t>
        </is>
      </c>
      <c r="C26" s="6" t="inlineStr">
        <is>
          <t>사용 가능 여부 제공</t>
        </is>
      </c>
      <c r="D26" s="6" t="inlineStr">
        <is>
          <t>작업 실행 가능 여부 표시</t>
        </is>
      </c>
      <c r="E26" s="12" t="inlineStr">
        <is>
          <t>구현 완료</t>
        </is>
      </c>
      <c r="F26" s="6" t="inlineStr">
        <is>
          <t>web/src/pages/DevicesPage.tsx</t>
        </is>
      </c>
      <c r="G26" s="6" t="inlineStr">
        <is>
          <t>화면 확인</t>
        </is>
      </c>
      <c r="H26" s="6" t="inlineStr">
        <is>
          <t>온라인/오프라인 배지</t>
        </is>
      </c>
    </row>
    <row r="27">
      <c r="A27" s="15" t="inlineStr">
        <is>
          <t>F2-101</t>
        </is>
      </c>
      <c r="B27" s="16" t="inlineStr">
        <is>
          <t>UC-201 서비스 생성</t>
        </is>
      </c>
      <c r="C27" s="16" t="inlineStr">
        <is>
          <t>생성 화면 제공</t>
        </is>
      </c>
      <c r="D27" s="16" t="inlineStr">
        <is>
          <t>프롬프트 입력 양식 제공</t>
        </is>
      </c>
      <c r="E27" s="12" t="inlineStr">
        <is>
          <t>구현 완료</t>
        </is>
      </c>
      <c r="F27" s="16" t="inlineStr">
        <is>
          <t>web/src/pages/ServicesPage.tsx</t>
        </is>
      </c>
      <c r="G27" s="16" t="inlineStr">
        <is>
          <t>화면 확인</t>
        </is>
      </c>
      <c r="H27" s="16" t="inlineStr"/>
    </row>
    <row r="28">
      <c r="A28" s="7" t="inlineStr">
        <is>
          <t>F2-102</t>
        </is>
      </c>
      <c r="B28" s="6" t="inlineStr">
        <is>
          <t>UC-201 서비스 생성</t>
        </is>
      </c>
      <c r="C28" s="6" t="inlineStr">
        <is>
          <t>생성 프롬프트 입력</t>
        </is>
      </c>
      <c r="D28" s="6" t="inlineStr">
        <is>
          <t>자연어 프롬프트 입력</t>
        </is>
      </c>
      <c r="E28" s="12" t="inlineStr">
        <is>
          <t>구현 완료</t>
        </is>
      </c>
      <c r="F28" s="6" t="inlineStr">
        <is>
          <t>web/src/pages/ServicesPage.tsx</t>
        </is>
      </c>
      <c r="G28" s="6" t="inlineStr">
        <is>
          <t>실 LLM 데모</t>
        </is>
      </c>
      <c r="H28" s="6" t="inlineStr"/>
    </row>
    <row r="29">
      <c r="A29" s="7" t="inlineStr">
        <is>
          <t>F2-103</t>
        </is>
      </c>
      <c r="B29" s="6" t="inlineStr">
        <is>
          <t>UC-201 서비스 생성</t>
        </is>
      </c>
      <c r="C29" s="6" t="inlineStr">
        <is>
          <t>프롬프트 유효성 검증</t>
        </is>
      </c>
      <c r="D29" s="6" t="inlineStr">
        <is>
          <t>빈 값·형식 검증</t>
        </is>
      </c>
      <c r="E29" s="12" t="inlineStr">
        <is>
          <t>구현 완료</t>
        </is>
      </c>
      <c r="F29" s="6" t="inlineStr">
        <is>
          <t>server/app/schemas.py (최소 5자)</t>
        </is>
      </c>
      <c r="G29" s="6" t="inlineStr">
        <is>
          <t>E2E 자동 테스트</t>
        </is>
      </c>
      <c r="H29" s="6" t="inlineStr">
        <is>
          <t>422 응답</t>
        </is>
      </c>
    </row>
    <row r="30">
      <c r="A30" s="7" t="inlineStr">
        <is>
          <t>F2-104</t>
        </is>
      </c>
      <c r="B30" s="6" t="inlineStr">
        <is>
          <t>UC-201 서비스 생성</t>
        </is>
      </c>
      <c r="C30" s="6" t="inlineStr">
        <is>
          <t>오류 메시지 제공</t>
        </is>
      </c>
      <c r="D30" s="6" t="inlineStr">
        <is>
          <t>무효 시 오류·재입력 요청</t>
        </is>
      </c>
      <c r="E30" s="12" t="inlineStr">
        <is>
          <t>구현 완료</t>
        </is>
      </c>
      <c r="F30" s="6" t="inlineStr">
        <is>
          <t>web + API detail</t>
        </is>
      </c>
      <c r="G30" s="6" t="inlineStr">
        <is>
          <t>화면 확인</t>
        </is>
      </c>
      <c r="H30" s="6" t="inlineStr"/>
    </row>
    <row r="31">
      <c r="A31" s="7" t="inlineStr">
        <is>
          <t>F2-105</t>
        </is>
      </c>
      <c r="B31" s="6" t="inlineStr">
        <is>
          <t>UC-201 서비스 생성</t>
        </is>
      </c>
      <c r="C31" s="6" t="inlineStr">
        <is>
          <t>서비스 구성 생성</t>
        </is>
      </c>
      <c r="D31" s="6" t="inlineStr">
        <is>
          <t>프롬프트 해석→에이전트·DAG 생성</t>
        </is>
      </c>
      <c r="E31" s="12" t="inlineStr">
        <is>
          <t>구현 완료</t>
        </is>
      </c>
      <c r="F31" s="6" t="inlineStr">
        <is>
          <t>server/app/services/generator.py</t>
        </is>
      </c>
      <c r="G31" s="6" t="inlineStr">
        <is>
          <t>실 LLM 데모 (병렬 5노드 생성 확인)</t>
        </is>
      </c>
      <c r="H31" s="6" t="inlineStr">
        <is>
          <t>Ollama LLM + 규칙 기반 폴백 이중화</t>
        </is>
      </c>
    </row>
    <row r="32">
      <c r="A32" s="7" t="inlineStr">
        <is>
          <t>F2-106</t>
        </is>
      </c>
      <c r="B32" s="6" t="inlineStr">
        <is>
          <t>UC-201 서비스 생성</t>
        </is>
      </c>
      <c r="C32" s="6" t="inlineStr">
        <is>
          <t>워크플로우 시각화</t>
        </is>
      </c>
      <c r="D32" s="6" t="inlineStr">
        <is>
          <t>생성 구성 시각적 제공</t>
        </is>
      </c>
      <c r="E32" s="12" t="inlineStr">
        <is>
          <t>구현 완료</t>
        </is>
      </c>
      <c r="F32" s="6" t="inlineStr">
        <is>
          <t>web ServiceDetailPage (React Flow)</t>
        </is>
      </c>
      <c r="G32" s="6" t="inlineStr">
        <is>
          <t>화면 확인</t>
        </is>
      </c>
      <c r="H32" s="6" t="inlineStr">
        <is>
          <t>블록코딩식 캔버스</t>
        </is>
      </c>
    </row>
    <row r="33">
      <c r="A33" s="7" t="inlineStr">
        <is>
          <t>F2-107</t>
        </is>
      </c>
      <c r="B33" s="6" t="inlineStr">
        <is>
          <t>UC-201 서비스 생성</t>
        </is>
      </c>
      <c r="C33" s="6" t="inlineStr">
        <is>
          <t>생성 실패 사유 제공</t>
        </is>
      </c>
      <c r="D33" s="6" t="inlineStr">
        <is>
          <t>실패 시 사유 제공</t>
        </is>
      </c>
      <c r="E33" s="12" t="inlineStr">
        <is>
          <t>구현 완료</t>
        </is>
      </c>
      <c r="F33" s="6" t="inlineStr">
        <is>
          <t>server 422 detail</t>
        </is>
      </c>
      <c r="G33" s="6" t="inlineStr">
        <is>
          <t>E2E 자동 테스트</t>
        </is>
      </c>
      <c r="H33" s="6" t="inlineStr"/>
    </row>
    <row r="34">
      <c r="A34" s="15" t="inlineStr">
        <is>
          <t>F2-201</t>
        </is>
      </c>
      <c r="B34" s="16" t="inlineStr">
        <is>
          <t>UC-202 서비스 수정</t>
        </is>
      </c>
      <c r="C34" s="16" t="inlineStr">
        <is>
          <t>수정 요청</t>
        </is>
      </c>
      <c r="D34" s="16" t="inlineStr">
        <is>
          <t>서비스 구성 수정 요청</t>
        </is>
      </c>
      <c r="E34" s="12" t="inlineStr">
        <is>
          <t>구현 완료</t>
        </is>
      </c>
      <c r="F34" s="16" t="inlineStr">
        <is>
          <t>web/src/pages/ServiceDetailPage.tsx</t>
        </is>
      </c>
      <c r="G34" s="16" t="inlineStr">
        <is>
          <t>화면 조작 확인</t>
        </is>
      </c>
      <c r="H34" s="16" t="inlineStr"/>
    </row>
    <row r="35">
      <c r="A35" s="7" t="inlineStr">
        <is>
          <t>F2-202</t>
        </is>
      </c>
      <c r="B35" s="6" t="inlineStr">
        <is>
          <t>UC-202 서비스 수정</t>
        </is>
      </c>
      <c r="C35" s="6" t="inlineStr">
        <is>
          <t>워크플로우 제공</t>
        </is>
      </c>
      <c r="D35" s="6" t="inlineStr">
        <is>
          <t>수정용 시각적 워크플로우</t>
        </is>
      </c>
      <c r="E35" s="12" t="inlineStr">
        <is>
          <t>구현 완료</t>
        </is>
      </c>
      <c r="F35" s="6" t="inlineStr">
        <is>
          <t>React Flow 캔버스</t>
        </is>
      </c>
      <c r="G35" s="6" t="inlineStr">
        <is>
          <t>화면 확인</t>
        </is>
      </c>
      <c r="H35" s="6" t="inlineStr"/>
    </row>
    <row r="36">
      <c r="A36" s="7" t="inlineStr">
        <is>
          <t>F2-203</t>
        </is>
      </c>
      <c r="B36" s="6" t="inlineStr">
        <is>
          <t>UC-202 서비스 수정</t>
        </is>
      </c>
      <c r="C36" s="6" t="inlineStr">
        <is>
          <t>구성 요소 편집</t>
        </is>
      </c>
      <c r="D36" s="6" t="inlineStr">
        <is>
          <t>추가·삭제·연결 변경</t>
        </is>
      </c>
      <c r="E36" s="12" t="inlineStr">
        <is>
          <t>구현 완료</t>
        </is>
      </c>
      <c r="F36" s="6" t="inlineStr">
        <is>
          <t>블록 팔레트 + 연결선 삭제 버튼</t>
        </is>
      </c>
      <c r="G36" s="6" t="inlineStr">
        <is>
          <t>화면 조작 확인</t>
        </is>
      </c>
      <c r="H36" s="6" t="inlineStr">
        <is>
          <t>드래그 추가, 연결선 × 버튼</t>
        </is>
      </c>
    </row>
    <row r="37">
      <c r="A37" s="7" t="inlineStr">
        <is>
          <t>F2-204</t>
        </is>
      </c>
      <c r="B37" s="6" t="inlineStr">
        <is>
          <t>UC-202 서비스 수정</t>
        </is>
      </c>
      <c r="C37" s="6" t="inlineStr">
        <is>
          <t>에이전트 프롬프트 설정</t>
        </is>
      </c>
      <c r="D37" s="6" t="inlineStr">
        <is>
          <t>에이전트별 프롬프트 설정</t>
        </is>
      </c>
      <c r="E37" s="12" t="inlineStr">
        <is>
          <t>구현 완료</t>
        </is>
      </c>
      <c r="F37" s="6" t="inlineStr">
        <is>
          <t>블록 설정 패널</t>
        </is>
      </c>
      <c r="G37" s="6" t="inlineStr">
        <is>
          <t>화면 조작 확인</t>
        </is>
      </c>
      <c r="H37" s="6" t="inlineStr"/>
    </row>
    <row r="38">
      <c r="A38" s="7" t="inlineStr">
        <is>
          <t>F2-205</t>
        </is>
      </c>
      <c r="B38" s="6" t="inlineStr">
        <is>
          <t>UC-202 서비스 수정</t>
        </is>
      </c>
      <c r="C38" s="6" t="inlineStr">
        <is>
          <t>에이전트 접근 권한 설정</t>
        </is>
      </c>
      <c r="D38" s="6" t="inlineStr">
        <is>
          <t>에이전트별 폴더 범위 설정</t>
        </is>
      </c>
      <c r="E38" s="12" t="inlineStr">
        <is>
          <t>구현 완료</t>
        </is>
      </c>
      <c r="F38" s="6" t="inlineStr">
        <is>
          <t>블록 설정 패널</t>
        </is>
      </c>
      <c r="G38" s="6" t="inlineStr">
        <is>
          <t>화면 조작 확인</t>
        </is>
      </c>
      <c r="H38" s="6" t="inlineStr">
        <is>
          <t>비우면 기기 기본값 사용</t>
        </is>
      </c>
    </row>
    <row r="39">
      <c r="A39" s="7" t="inlineStr">
        <is>
          <t>F2-206</t>
        </is>
      </c>
      <c r="B39" s="6" t="inlineStr">
        <is>
          <t>UC-202 서비스 수정</t>
        </is>
      </c>
      <c r="C39" s="6" t="inlineStr">
        <is>
          <t>수정 구성 유효성 검증</t>
        </is>
      </c>
      <c r="D39" s="6" t="inlineStr">
        <is>
          <t>실행 가능성 검증</t>
        </is>
      </c>
      <c r="E39" s="12" t="inlineStr">
        <is>
          <t>구현 완료</t>
        </is>
      </c>
      <c r="F39" s="6" t="inlineStr">
        <is>
          <t>server/app/services/dag.py</t>
        </is>
      </c>
      <c r="G39" s="6" t="inlineStr">
        <is>
          <t>E2E '순환 DAG 차단'</t>
        </is>
      </c>
      <c r="H39" s="6" t="inlineStr">
        <is>
          <t>Kahn 위상정렬로 순환 차단</t>
        </is>
      </c>
    </row>
    <row r="40">
      <c r="A40" s="7" t="inlineStr">
        <is>
          <t>F2-207</t>
        </is>
      </c>
      <c r="B40" s="6" t="inlineStr">
        <is>
          <t>UC-202 서비스 수정</t>
        </is>
      </c>
      <c r="C40" s="6" t="inlineStr">
        <is>
          <t>갱신 워크플로우 제공</t>
        </is>
      </c>
      <c r="D40" s="6" t="inlineStr">
        <is>
          <t>수정 반영 결과 제공</t>
        </is>
      </c>
      <c r="E40" s="12" t="inlineStr">
        <is>
          <t>구현 완료</t>
        </is>
      </c>
      <c r="F40" s="6" t="inlineStr">
        <is>
          <t>저장 후 캔버스 갱신</t>
        </is>
      </c>
      <c r="G40" s="6" t="inlineStr">
        <is>
          <t>화면 확인</t>
        </is>
      </c>
      <c r="H40" s="6" t="inlineStr"/>
    </row>
    <row r="41">
      <c r="A41" s="7" t="inlineStr">
        <is>
          <t>F2-208</t>
        </is>
      </c>
      <c r="B41" s="6" t="inlineStr">
        <is>
          <t>UC-202 서비스 수정</t>
        </is>
      </c>
      <c r="C41" s="6" t="inlineStr">
        <is>
          <t>수정 내용 확인</t>
        </is>
      </c>
      <c r="D41" s="6" t="inlineStr">
        <is>
          <t>사용자 확인 제공</t>
        </is>
      </c>
      <c r="E41" s="12" t="inlineStr">
        <is>
          <t>구현 완료</t>
        </is>
      </c>
      <c r="F41" s="6" t="inlineStr">
        <is>
          <t>저장 성공 메시지</t>
        </is>
      </c>
      <c r="G41" s="6" t="inlineStr">
        <is>
          <t>화면 확인</t>
        </is>
      </c>
      <c r="H41" s="6" t="inlineStr"/>
    </row>
    <row r="42">
      <c r="A42" s="7" t="inlineStr">
        <is>
          <t>F2-209</t>
        </is>
      </c>
      <c r="B42" s="6" t="inlineStr">
        <is>
          <t>UC-202 서비스 수정</t>
        </is>
      </c>
      <c r="C42" s="6" t="inlineStr">
        <is>
          <t>수정 오류 사유 제공</t>
        </is>
      </c>
      <c r="D42" s="6" t="inlineStr">
        <is>
          <t>실행 불가 구성 시 사유</t>
        </is>
      </c>
      <c r="E42" s="12" t="inlineStr">
        <is>
          <t>구현 완료</t>
        </is>
      </c>
      <c r="F42" s="6" t="inlineStr">
        <is>
          <t>server 422 detail</t>
        </is>
      </c>
      <c r="G42" s="6" t="inlineStr">
        <is>
          <t>E2E 자동 테스트</t>
        </is>
      </c>
      <c r="H42" s="6" t="inlineStr"/>
    </row>
    <row r="43">
      <c r="A43" s="7" t="inlineStr">
        <is>
          <t>추가-1</t>
        </is>
      </c>
      <c r="B43" s="6" t="inlineStr">
        <is>
          <t>UC-202 서비스 수정</t>
        </is>
      </c>
      <c r="C43" s="6" t="inlineStr">
        <is>
          <t>자연어 AI 수정</t>
        </is>
      </c>
      <c r="D43" s="6" t="inlineStr">
        <is>
          <t>말로 지시해 그래프 수정</t>
        </is>
      </c>
      <c r="E43" s="12" t="inlineStr">
        <is>
          <t>구현 완료</t>
        </is>
      </c>
      <c r="F43" s="6" t="inlineStr">
        <is>
          <t>POST /services/:id/revise</t>
        </is>
      </c>
      <c r="G43" s="6" t="inlineStr">
        <is>
          <t>실 LLM 검증 (에이전트 추가 지시)</t>
        </is>
      </c>
      <c r="H43" s="6" t="inlineStr">
        <is>
          <t>요구사항 외 추가 구현, 제안만 표시 후 사용자 확정</t>
        </is>
      </c>
    </row>
    <row r="44">
      <c r="A44" s="7" t="inlineStr">
        <is>
          <t>추가-2</t>
        </is>
      </c>
      <c r="B44" s="6" t="inlineStr">
        <is>
          <t>UC-202 서비스 수정</t>
        </is>
      </c>
      <c r="C44" s="6" t="inlineStr">
        <is>
          <t>되돌리기/다시 실행</t>
        </is>
      </c>
      <c r="D44" s="6" t="inlineStr">
        <is>
          <t>편집 실수 복구</t>
        </is>
      </c>
      <c r="E44" s="12" t="inlineStr">
        <is>
          <t>구현 완료</t>
        </is>
      </c>
      <c r="F44" s="6" t="inlineStr">
        <is>
          <t>ServiceDetailPage (50단계 히스토리)</t>
        </is>
      </c>
      <c r="G44" s="6" t="inlineStr">
        <is>
          <t>화면 조작 확인</t>
        </is>
      </c>
      <c r="H44" s="6" t="inlineStr">
        <is>
          <t>요구사항 외 추가 구현, Cmd+Z 지원</t>
        </is>
      </c>
    </row>
    <row r="45">
      <c r="A45" s="15" t="inlineStr">
        <is>
          <t>F2-301</t>
        </is>
      </c>
      <c r="B45" s="16" t="inlineStr">
        <is>
          <t>UC-203 실행 프롬프트</t>
        </is>
      </c>
      <c r="C45" s="16" t="inlineStr">
        <is>
          <t>실행 프롬프트 양식 제공</t>
        </is>
      </c>
      <c r="D45" s="16" t="inlineStr">
        <is>
          <t>실행 프롬프트 입력 양식</t>
        </is>
      </c>
      <c r="E45" s="12" t="inlineStr">
        <is>
          <t>구현 완료</t>
        </is>
      </c>
      <c r="F45" s="16" t="inlineStr">
        <is>
          <t>ServiceDetailPage 실행 패널</t>
        </is>
      </c>
      <c r="G45" s="16" t="inlineStr">
        <is>
          <t>화면 확인</t>
        </is>
      </c>
      <c r="H45" s="16" t="inlineStr"/>
    </row>
    <row r="46">
      <c r="A46" s="7" t="inlineStr">
        <is>
          <t>F2-302</t>
        </is>
      </c>
      <c r="B46" s="6" t="inlineStr">
        <is>
          <t>UC-203 실행 프롬프트</t>
        </is>
      </c>
      <c r="C46" s="6" t="inlineStr">
        <is>
          <t>실행 프롬프트 입력</t>
        </is>
      </c>
      <c r="D46" s="6" t="inlineStr">
        <is>
          <t>양식에 맞게 입력</t>
        </is>
      </c>
      <c r="E46" s="12" t="inlineStr">
        <is>
          <t>구현 완료</t>
        </is>
      </c>
      <c r="F46" s="6" t="inlineStr">
        <is>
          <t>ServiceDetailPage 실행 패널</t>
        </is>
      </c>
      <c r="G46" s="6" t="inlineStr">
        <is>
          <t>실 LLM 데모</t>
        </is>
      </c>
      <c r="H46" s="6" t="inlineStr"/>
    </row>
    <row r="47">
      <c r="A47" s="7" t="inlineStr">
        <is>
          <t>F2-303</t>
        </is>
      </c>
      <c r="B47" s="6" t="inlineStr">
        <is>
          <t>UC-203 실행 프롬프트</t>
        </is>
      </c>
      <c r="C47" s="6" t="inlineStr">
        <is>
          <t>유효성 검증</t>
        </is>
      </c>
      <c r="D47" s="6" t="inlineStr">
        <is>
          <t>실행 프롬프트 검증</t>
        </is>
      </c>
      <c r="E47" s="12" t="inlineStr">
        <is>
          <t>구현 완료</t>
        </is>
      </c>
      <c r="F47" s="6" t="inlineStr">
        <is>
          <t>server (빈 값 422)</t>
        </is>
      </c>
      <c r="G47" s="6" t="inlineStr">
        <is>
          <t>E2E '빈 실행 프롬프트 거부'</t>
        </is>
      </c>
      <c r="H47" s="6" t="inlineStr"/>
    </row>
    <row r="48">
      <c r="A48" s="7" t="inlineStr">
        <is>
          <t>F2-304</t>
        </is>
      </c>
      <c r="B48" s="6" t="inlineStr">
        <is>
          <t>UC-203 실행 프롬프트</t>
        </is>
      </c>
      <c r="C48" s="6" t="inlineStr">
        <is>
          <t>검증 결과 제공</t>
        </is>
      </c>
      <c r="D48" s="6" t="inlineStr">
        <is>
          <t>검증 결과 사용자 제공</t>
        </is>
      </c>
      <c r="E48" s="13" t="inlineStr">
        <is>
          <t>부분 구현</t>
        </is>
      </c>
      <c r="F48" s="6" t="inlineStr">
        <is>
          <t>오류 시 메시지 표시</t>
        </is>
      </c>
      <c r="G48" s="6" t="inlineStr">
        <is>
          <t>화면 확인</t>
        </is>
      </c>
      <c r="H48" s="6" t="inlineStr">
        <is>
          <t>실패 시 오류만 표시, 성공 확인 단계 없음</t>
        </is>
      </c>
    </row>
    <row r="49">
      <c r="A49" s="7" t="inlineStr">
        <is>
          <t>F2-305</t>
        </is>
      </c>
      <c r="B49" s="6" t="inlineStr">
        <is>
          <t>UC-203 실행 프롬프트</t>
        </is>
      </c>
      <c r="C49" s="6" t="inlineStr">
        <is>
          <t>오류 메시지 제공</t>
        </is>
      </c>
      <c r="D49" s="6" t="inlineStr">
        <is>
          <t>무효 시 재입력 요청</t>
        </is>
      </c>
      <c r="E49" s="12" t="inlineStr">
        <is>
          <t>구현 완료</t>
        </is>
      </c>
      <c r="F49" s="6" t="inlineStr">
        <is>
          <t>web error 표시</t>
        </is>
      </c>
      <c r="G49" s="6" t="inlineStr">
        <is>
          <t>화면 확인</t>
        </is>
      </c>
      <c r="H49" s="6" t="inlineStr"/>
    </row>
    <row r="50">
      <c r="A50" s="7" t="inlineStr">
        <is>
          <t>F2-306</t>
        </is>
      </c>
      <c r="B50" s="6" t="inlineStr">
        <is>
          <t>UC-203 실행 프롬프트</t>
        </is>
      </c>
      <c r="C50" s="6" t="inlineStr">
        <is>
          <t>실행 요청</t>
        </is>
      </c>
      <c r="D50" s="6" t="inlineStr">
        <is>
          <t>입력 후 실행 요청</t>
        </is>
      </c>
      <c r="E50" s="12" t="inlineStr">
        <is>
          <t>구현 완료</t>
        </is>
      </c>
      <c r="F50" s="6" t="inlineStr">
        <is>
          <t>실행 버튼 → POST executions</t>
        </is>
      </c>
      <c r="G50" s="6" t="inlineStr">
        <is>
          <t>E2E + 데모</t>
        </is>
      </c>
      <c r="H50" s="6" t="inlineStr"/>
    </row>
    <row r="51">
      <c r="A51" s="15" t="inlineStr">
        <is>
          <t>F2-401</t>
        </is>
      </c>
      <c r="B51" s="16" t="inlineStr">
        <is>
          <t>UC-204 서비스 실행</t>
        </is>
      </c>
      <c r="C51" s="16" t="inlineStr">
        <is>
          <t>실행 요청 처리</t>
        </is>
      </c>
      <c r="D51" s="16" t="inlineStr">
        <is>
          <t>생성 서비스 실행 요청</t>
        </is>
      </c>
      <c r="E51" s="12" t="inlineStr">
        <is>
          <t>구현 완료</t>
        </is>
      </c>
      <c r="F51" s="16" t="inlineStr">
        <is>
          <t>server/app/routers/executions.py</t>
        </is>
      </c>
      <c r="G51" s="16" t="inlineStr">
        <is>
          <t>E2E '서비스 실행 시작'</t>
        </is>
      </c>
      <c r="H51" s="16" t="inlineStr"/>
    </row>
    <row r="52">
      <c r="A52" s="7" t="inlineStr">
        <is>
          <t>F2-402</t>
        </is>
      </c>
      <c r="B52" s="6" t="inlineStr">
        <is>
          <t>UC-204 서비스 실행</t>
        </is>
      </c>
      <c r="C52" s="6" t="inlineStr">
        <is>
          <t>등록 기기 활용 실행</t>
        </is>
      </c>
      <c r="D52" s="6" t="inlineStr">
        <is>
          <t>등록 기기에 분배·실행</t>
        </is>
      </c>
      <c r="E52" s="12" t="inlineStr">
        <is>
          <t>구현 완료</t>
        </is>
      </c>
      <c r="F52" s="6" t="inlineStr">
        <is>
          <t>orchestrator + worker (Pull 폴링)</t>
        </is>
      </c>
      <c r="G52" s="6" t="inlineStr">
        <is>
          <t>실기기 데모 + E2E 전 노드 처리</t>
        </is>
      </c>
      <c r="H52" s="6" t="inlineStr">
        <is>
          <t>NAT 대응 Pull 방식</t>
        </is>
      </c>
    </row>
    <row r="53">
      <c r="A53" s="7" t="inlineStr">
        <is>
          <t>F2-403</t>
        </is>
      </c>
      <c r="B53" s="6" t="inlineStr">
        <is>
          <t>UC-204 서비스 실행</t>
        </is>
      </c>
      <c r="C53" s="6" t="inlineStr">
        <is>
          <t>실행 상태 제공</t>
        </is>
      </c>
      <c r="D53" s="6" t="inlineStr">
        <is>
          <t>실행 상태 표시</t>
        </is>
      </c>
      <c r="E53" s="12" t="inlineStr">
        <is>
          <t>구현 완료</t>
        </is>
      </c>
      <c r="F53" s="6" t="inlineStr">
        <is>
          <t>web/src/pages/ExecutionPage.tsx</t>
        </is>
      </c>
      <c r="G53" s="6" t="inlineStr">
        <is>
          <t>화면 확인 (3초 폴링)</t>
        </is>
      </c>
      <c r="H53" s="6" t="inlineStr"/>
    </row>
    <row r="54">
      <c r="A54" s="7" t="inlineStr">
        <is>
          <t>F2-404</t>
        </is>
      </c>
      <c r="B54" s="6" t="inlineStr">
        <is>
          <t>UC-204 서비스 실행</t>
        </is>
      </c>
      <c r="C54" s="6" t="inlineStr">
        <is>
          <t>전체 진행률 표시</t>
        </is>
      </c>
      <c r="D54" s="6" t="inlineStr">
        <is>
          <t>백분율 진행률 제공</t>
        </is>
      </c>
      <c r="E54" s="12" t="inlineStr">
        <is>
          <t>구현 완료</t>
        </is>
      </c>
      <c r="F54" s="6" t="inlineStr">
        <is>
          <t>orchestrator.execution_progress()</t>
        </is>
      </c>
      <c r="G54" s="6" t="inlineStr">
        <is>
          <t>E2E '진행률 100%'</t>
        </is>
      </c>
      <c r="H54" s="6" t="inlineStr">
        <is>
          <t>진행바 표시</t>
        </is>
      </c>
    </row>
    <row r="55">
      <c r="A55" s="7" t="inlineStr">
        <is>
          <t>F2-405</t>
        </is>
      </c>
      <c r="B55" s="6" t="inlineStr">
        <is>
          <t>UC-204 서비스 실행</t>
        </is>
      </c>
      <c r="C55" s="6" t="inlineStr">
        <is>
          <t>작업 진행 현황 표시</t>
        </is>
      </c>
      <c r="D55" s="6" t="inlineStr">
        <is>
          <t>대기/실행/완료 현황</t>
        </is>
      </c>
      <c r="E55" s="12" t="inlineStr">
        <is>
          <t>구현 완료</t>
        </is>
      </c>
      <c r="F55" s="6" t="inlineStr">
        <is>
          <t>ExecutionPage 작업 현황 표</t>
        </is>
      </c>
      <c r="G55" s="6" t="inlineStr">
        <is>
          <t>화면 확인 (중간 진행 캡처)</t>
        </is>
      </c>
      <c r="H55" s="6" t="inlineStr"/>
    </row>
    <row r="56">
      <c r="A56" s="7" t="inlineStr">
        <is>
          <t>F2-406</t>
        </is>
      </c>
      <c r="B56" s="6" t="inlineStr">
        <is>
          <t>UC-204 서비스 실행</t>
        </is>
      </c>
      <c r="C56" s="6" t="inlineStr">
        <is>
          <t>기기 상태 표시</t>
        </is>
      </c>
      <c r="D56" s="6" t="inlineStr">
        <is>
          <t>기기 상태 정보 제공</t>
        </is>
      </c>
      <c r="E56" s="13" t="inlineStr">
        <is>
          <t>부분 구현</t>
        </is>
      </c>
      <c r="F56" s="6" t="inlineStr">
        <is>
          <t>작업별 할당 기기 표시</t>
        </is>
      </c>
      <c r="G56" s="6" t="inlineStr">
        <is>
          <t>화면 확인</t>
        </is>
      </c>
      <c r="H56" s="6" t="inlineStr">
        <is>
          <t>실행 화면엔 기기 ID만, 상세는 기기 관리 화면</t>
        </is>
      </c>
    </row>
    <row r="57">
      <c r="A57" s="7" t="inlineStr">
        <is>
          <t>F2-407</t>
        </is>
      </c>
      <c r="B57" s="6" t="inlineStr">
        <is>
          <t>UC-204 서비스 실행</t>
        </is>
      </c>
      <c r="C57" s="6" t="inlineStr">
        <is>
          <t>서비스 중단</t>
        </is>
      </c>
      <c r="D57" s="6" t="inlineStr">
        <is>
          <t>중단 요청·처리</t>
        </is>
      </c>
      <c r="E57" s="13" t="inlineStr">
        <is>
          <t>부분 구현</t>
        </is>
      </c>
      <c r="F57" s="6" t="inlineStr">
        <is>
          <t>POST /executions/:id/cancel</t>
        </is>
      </c>
      <c r="G57" s="6" t="inlineStr">
        <is>
          <t>E2E '실행 중단'</t>
        </is>
      </c>
      <c r="H57" s="6" t="inlineStr">
        <is>
          <t>서버 상태만 변경, 워커에 중단 미전파(개선 예정)</t>
        </is>
      </c>
    </row>
    <row r="58">
      <c r="A58" s="7" t="inlineStr">
        <is>
          <t>F2-408</t>
        </is>
      </c>
      <c r="B58" s="6" t="inlineStr">
        <is>
          <t>UC-204 서비스 실행</t>
        </is>
      </c>
      <c r="C58" s="6" t="inlineStr">
        <is>
          <t>작업 재분배</t>
        </is>
      </c>
      <c r="D58" s="6" t="inlineStr">
        <is>
          <t>전달 실패 시 다른 기기로</t>
        </is>
      </c>
      <c r="E58" s="12" t="inlineStr">
        <is>
          <t>구현 완료</t>
        </is>
      </c>
      <c r="F58" s="6" t="inlineStr">
        <is>
          <t>Pull 구조 (미할당 작업 자동 재분배)</t>
        </is>
      </c>
      <c r="G58" s="6" t="inlineStr">
        <is>
          <t>구조 검증</t>
        </is>
      </c>
      <c r="H58" s="6" t="inlineStr">
        <is>
          <t>e201</t>
        </is>
      </c>
    </row>
    <row r="59">
      <c r="A59" s="7" t="inlineStr">
        <is>
          <t>F2-409</t>
        </is>
      </c>
      <c r="B59" s="6" t="inlineStr">
        <is>
          <t>UC-204 서비스 실행</t>
        </is>
      </c>
      <c r="C59" s="6" t="inlineStr">
        <is>
          <t>실행 실패 알림</t>
        </is>
      </c>
      <c r="D59" s="6" t="inlineStr">
        <is>
          <t>오류 정보 제공</t>
        </is>
      </c>
      <c r="E59" s="12" t="inlineStr">
        <is>
          <t>구현 완료</t>
        </is>
      </c>
      <c r="F59" s="6" t="inlineStr">
        <is>
          <t>complete_task 실패 처리</t>
        </is>
      </c>
      <c r="G59" s="6" t="inlineStr">
        <is>
          <t>코드 검토 + 화면 오류 카드</t>
        </is>
      </c>
      <c r="H59" s="6" t="inlineStr">
        <is>
          <t>e202: 실패 시 사유 표시</t>
        </is>
      </c>
    </row>
    <row r="60">
      <c r="A60" s="7" t="inlineStr">
        <is>
          <t>F2-410</t>
        </is>
      </c>
      <c r="B60" s="6" t="inlineStr">
        <is>
          <t>UC-204 서비스 실행</t>
        </is>
      </c>
      <c r="C60" s="6" t="inlineStr">
        <is>
          <t>기기 단절 시 재할당</t>
        </is>
      </c>
      <c r="D60" s="6" t="inlineStr">
        <is>
          <t>연결 끊긴 기기 작업 재할당</t>
        </is>
      </c>
      <c r="E60" s="12" t="inlineStr">
        <is>
          <t>구현 완료</t>
        </is>
      </c>
      <c r="F60" s="6" t="inlineStr">
        <is>
          <t>orchestrator.reclaim_stale_tasks()</t>
        </is>
      </c>
      <c r="G60" s="6" t="inlineStr">
        <is>
          <t>코드 검토 + 동시성 테스트</t>
        </is>
      </c>
      <c r="H60" s="6" t="inlineStr">
        <is>
          <t>e203: 하트비트 30초 타임아웃</t>
        </is>
      </c>
    </row>
    <row r="61">
      <c r="A61" s="7" t="inlineStr">
        <is>
          <t>F2-411</t>
        </is>
      </c>
      <c r="B61" s="6" t="inlineStr">
        <is>
          <t>UC-204 서비스 실행</t>
        </is>
      </c>
      <c r="C61" s="6" t="inlineStr">
        <is>
          <t>결과 수집 실패 알림</t>
        </is>
      </c>
      <c r="D61" s="6" t="inlineStr">
        <is>
          <t>수집 실패 시 오류 메시지</t>
        </is>
      </c>
      <c r="E61" s="13" t="inlineStr">
        <is>
          <t>부분 구현</t>
        </is>
      </c>
      <c r="F61" s="6" t="inlineStr">
        <is>
          <t>작업 실패로 통합 처리</t>
        </is>
      </c>
      <c r="G61" s="6" t="inlineStr">
        <is>
          <t>코드 검토</t>
        </is>
      </c>
      <c r="H61" s="6" t="inlineStr">
        <is>
          <t>e204: 별도 구분 없이 실패 처리에 포함</t>
        </is>
      </c>
    </row>
    <row r="62">
      <c r="A62" s="7" t="inlineStr">
        <is>
          <t>F2-412</t>
        </is>
      </c>
      <c r="B62" s="6" t="inlineStr">
        <is>
          <t>UC-204 서비스 실행</t>
        </is>
      </c>
      <c r="C62" s="6" t="inlineStr">
        <is>
          <t>실행 전 기기 확인</t>
        </is>
      </c>
      <c r="D62" s="6" t="inlineStr">
        <is>
          <t>가용 기기 상태 확인</t>
        </is>
      </c>
      <c r="E62" s="12" t="inlineStr">
        <is>
          <t>구현 완료</t>
        </is>
      </c>
      <c r="F62" s="6" t="inlineStr">
        <is>
          <t>executions.py (온라인 기기 없으면 409)</t>
        </is>
      </c>
      <c r="G62" s="6" t="inlineStr">
        <is>
          <t>데모 중 실제 발생·확인</t>
        </is>
      </c>
      <c r="H62" s="6" t="inlineStr"/>
    </row>
    <row r="63">
      <c r="A63" s="15" t="inlineStr">
        <is>
          <t>F2-501</t>
        </is>
      </c>
      <c r="B63" s="16" t="inlineStr">
        <is>
          <t>UC-205 결과 확인</t>
        </is>
      </c>
      <c r="C63" s="16" t="inlineStr">
        <is>
          <t>완료 알림 제공</t>
        </is>
      </c>
      <c r="D63" s="16" t="inlineStr">
        <is>
          <t>실행 완료 여부 제공</t>
        </is>
      </c>
      <c r="E63" s="12" t="inlineStr">
        <is>
          <t>구현 완료</t>
        </is>
      </c>
      <c r="F63" s="16" t="inlineStr">
        <is>
          <t>상태 배지 (완료/실패/중단)</t>
        </is>
      </c>
      <c r="G63" s="16" t="inlineStr">
        <is>
          <t>화면 확인</t>
        </is>
      </c>
      <c r="H63" s="16" t="inlineStr"/>
    </row>
    <row r="64">
      <c r="A64" s="7" t="inlineStr">
        <is>
          <t>F2-502</t>
        </is>
      </c>
      <c r="B64" s="6" t="inlineStr">
        <is>
          <t>UC-205 결과 확인</t>
        </is>
      </c>
      <c r="C64" s="6" t="inlineStr">
        <is>
          <t>실행 결과 수집</t>
        </is>
      </c>
      <c r="D64" s="6" t="inlineStr">
        <is>
          <t>기기 결과 수집</t>
        </is>
      </c>
      <c r="E64" s="12" t="inlineStr">
        <is>
          <t>구현 완료</t>
        </is>
      </c>
      <c r="F64" s="6" t="inlineStr">
        <is>
          <t>worker 결과 제출 → 서버 저장</t>
        </is>
      </c>
      <c r="G64" s="6" t="inlineStr">
        <is>
          <t>E2E '결과 제출'</t>
        </is>
      </c>
      <c r="H64" s="6" t="inlineStr"/>
    </row>
    <row r="65">
      <c r="A65" s="7" t="inlineStr">
        <is>
          <t>F2-503</t>
        </is>
      </c>
      <c r="B65" s="6" t="inlineStr">
        <is>
          <t>UC-205 결과 확인</t>
        </is>
      </c>
      <c r="C65" s="6" t="inlineStr">
        <is>
          <t>결과 제공</t>
        </is>
      </c>
      <c r="D65" s="6" t="inlineStr">
        <is>
          <t>수집 결과 사용자 제공</t>
        </is>
      </c>
      <c r="E65" s="12" t="inlineStr">
        <is>
          <t>구현 완료</t>
        </is>
      </c>
      <c r="F65" s="6" t="inlineStr">
        <is>
          <t>ExecutionPage 최종 결과 카드</t>
        </is>
      </c>
      <c r="G65" s="6" t="inlineStr">
        <is>
          <t>E2E '최종 결과 통합'</t>
        </is>
      </c>
      <c r="H65" s="6" t="inlineStr">
        <is>
          <t>종단 노드 출력 통합</t>
        </is>
      </c>
    </row>
    <row r="66">
      <c r="A66" s="7" t="inlineStr">
        <is>
          <t>F2-504</t>
        </is>
      </c>
      <c r="B66" s="6" t="inlineStr">
        <is>
          <t>UC-205 결과 확인</t>
        </is>
      </c>
      <c r="C66" s="6" t="inlineStr">
        <is>
          <t>결과 확인</t>
        </is>
      </c>
      <c r="D66" s="6" t="inlineStr">
        <is>
          <t>완료 결과 확인 가능</t>
        </is>
      </c>
      <c r="E66" s="12" t="inlineStr">
        <is>
          <t>구현 완료</t>
        </is>
      </c>
      <c r="F66" s="6" t="inlineStr">
        <is>
          <t>ExecutionPage + 에이전트별 출력</t>
        </is>
      </c>
      <c r="G66" s="6" t="inlineStr">
        <is>
          <t>실 LLM 데모 (개인 파일 반영 확인)</t>
        </is>
      </c>
      <c r="H66" s="6" t="inlineStr"/>
    </row>
    <row r="67">
      <c r="A67" s="7" t="inlineStr">
        <is>
          <t>F2-505</t>
        </is>
      </c>
      <c r="B67" s="6" t="inlineStr">
        <is>
          <t>UC-205 결과 확인</t>
        </is>
      </c>
      <c r="C67" s="6" t="inlineStr">
        <is>
          <t>결과 생성 실패 알림</t>
        </is>
      </c>
      <c r="D67" s="6" t="inlineStr">
        <is>
          <t>실패 시 오류 메시지</t>
        </is>
      </c>
      <c r="E67" s="12" t="inlineStr">
        <is>
          <t>구현 완료</t>
        </is>
      </c>
      <c r="F67" s="6" t="inlineStr">
        <is>
          <t>ExecutionPage 오류 카드</t>
        </is>
      </c>
      <c r="G67" s="6" t="inlineStr">
        <is>
          <t>화면 확인</t>
        </is>
      </c>
      <c r="H67" s="6" t="inlineStr"/>
    </row>
    <row r="68">
      <c r="A68" s="7" t="inlineStr">
        <is>
          <t>추가-3</t>
        </is>
      </c>
      <c r="B68" s="6" t="inlineStr">
        <is>
          <t>UC-205 결과 확인</t>
        </is>
      </c>
      <c r="C68" s="6" t="inlineStr">
        <is>
          <t>결과 다운로드</t>
        </is>
      </c>
      <c r="D68" s="6" t="inlineStr">
        <is>
          <t>결과 파일 다운로드</t>
        </is>
      </c>
      <c r="E68" s="13" t="inlineStr">
        <is>
          <t>부분 구현</t>
        </is>
      </c>
      <c r="F68" s="6" t="inlineStr">
        <is>
          <t>ExecutionPage 다운로드 버튼</t>
        </is>
      </c>
      <c r="G68" s="6" t="inlineStr">
        <is>
          <t>화면 확인</t>
        </is>
      </c>
      <c r="H68" s="6" t="inlineStr">
        <is>
          <t>인터페이스 요구 5), 현재 .md 형식만 지원</t>
        </is>
      </c>
    </row>
    <row r="69">
      <c r="A69" s="15" t="inlineStr">
        <is>
          <t>F2-601</t>
        </is>
      </c>
      <c r="B69" s="16" t="inlineStr">
        <is>
          <t>UC-206 이력 조회</t>
        </is>
      </c>
      <c r="C69" s="16" t="inlineStr">
        <is>
          <t>이력 조회 요청</t>
        </is>
      </c>
      <c r="D69" s="16" t="inlineStr">
        <is>
          <t>과거 실행 이력 조회</t>
        </is>
      </c>
      <c r="E69" s="12" t="inlineStr">
        <is>
          <t>구현 완료</t>
        </is>
      </c>
      <c r="F69" s="16" t="inlineStr">
        <is>
          <t>web/src/pages/HistoryPage.tsx</t>
        </is>
      </c>
      <c r="G69" s="16" t="inlineStr">
        <is>
          <t>E2E '실행 이력 조회'</t>
        </is>
      </c>
      <c r="H69" s="16" t="inlineStr"/>
    </row>
    <row r="70">
      <c r="A70" s="7" t="inlineStr">
        <is>
          <t>F2-602</t>
        </is>
      </c>
      <c r="B70" s="6" t="inlineStr">
        <is>
          <t>UC-206 이력 조회</t>
        </is>
      </c>
      <c r="C70" s="6" t="inlineStr">
        <is>
          <t>이력 제공</t>
        </is>
      </c>
      <c r="D70" s="6" t="inlineStr">
        <is>
          <t>실행 이력 목록 제공</t>
        </is>
      </c>
      <c r="E70" s="12" t="inlineStr">
        <is>
          <t>구현 완료</t>
        </is>
      </c>
      <c r="F70" s="6" t="inlineStr">
        <is>
          <t>GET /executions</t>
        </is>
      </c>
      <c r="G70" s="6" t="inlineStr">
        <is>
          <t>E2E + 화면 확인</t>
        </is>
      </c>
      <c r="H70" s="6" t="inlineStr">
        <is>
          <t>최근 100건</t>
        </is>
      </c>
    </row>
    <row r="71">
      <c r="A71" s="7" t="inlineStr">
        <is>
          <t>F2-603</t>
        </is>
      </c>
      <c r="B71" s="6" t="inlineStr">
        <is>
          <t>UC-206 이력 조회</t>
        </is>
      </c>
      <c r="C71" s="6" t="inlineStr">
        <is>
          <t>실행 결과 선택</t>
        </is>
      </c>
      <c r="D71" s="6" t="inlineStr">
        <is>
          <t>특정 이력 선택</t>
        </is>
      </c>
      <c r="E71" s="12" t="inlineStr">
        <is>
          <t>구현 완료</t>
        </is>
      </c>
      <c r="F71" s="6" t="inlineStr">
        <is>
          <t>HistoryPage 행 클릭</t>
        </is>
      </c>
      <c r="G71" s="6" t="inlineStr">
        <is>
          <t>화면 확인</t>
        </is>
      </c>
      <c r="H71" s="6" t="inlineStr"/>
    </row>
    <row r="72">
      <c r="A72" s="7" t="inlineStr">
        <is>
          <t>F2-604</t>
        </is>
      </c>
      <c r="B72" s="6" t="inlineStr">
        <is>
          <t>UC-206 이력 조회</t>
        </is>
      </c>
      <c r="C72" s="6" t="inlineStr">
        <is>
          <t>실행 결과 조회</t>
        </is>
      </c>
      <c r="D72" s="6" t="inlineStr">
        <is>
          <t>선택 결과 조회</t>
        </is>
      </c>
      <c r="E72" s="12" t="inlineStr">
        <is>
          <t>구현 완료</t>
        </is>
      </c>
      <c r="F72" s="6" t="inlineStr">
        <is>
          <t>GET /executions/:id</t>
        </is>
      </c>
      <c r="G72" s="6" t="inlineStr">
        <is>
          <t>화면 확인</t>
        </is>
      </c>
      <c r="H72" s="6" t="inlineStr"/>
    </row>
    <row r="73">
      <c r="A73" s="7" t="inlineStr">
        <is>
          <t>F2-605</t>
        </is>
      </c>
      <c r="B73" s="6" t="inlineStr">
        <is>
          <t>UC-206 이력 조회</t>
        </is>
      </c>
      <c r="C73" s="6" t="inlineStr">
        <is>
          <t>결과 제공</t>
        </is>
      </c>
      <c r="D73" s="6" t="inlineStr">
        <is>
          <t>조회 결과 제공</t>
        </is>
      </c>
      <c r="E73" s="12" t="inlineStr">
        <is>
          <t>구현 완료</t>
        </is>
      </c>
      <c r="F73" s="6" t="inlineStr">
        <is>
          <t>ExecutionPage 재사용</t>
        </is>
      </c>
      <c r="G73" s="6" t="inlineStr">
        <is>
          <t>화면 확인</t>
        </is>
      </c>
      <c r="H73" s="6" t="inlineStr"/>
    </row>
    <row r="74">
      <c r="A74" s="7" t="inlineStr">
        <is>
          <t>F2-606</t>
        </is>
      </c>
      <c r="B74" s="6" t="inlineStr">
        <is>
          <t>UC-206 이력 조회</t>
        </is>
      </c>
      <c r="C74" s="6" t="inlineStr">
        <is>
          <t>조회 실패 알림</t>
        </is>
      </c>
      <c r="D74" s="6" t="inlineStr">
        <is>
          <t>손상·조회 불가 시 메시지</t>
        </is>
      </c>
      <c r="E74" s="12" t="inlineStr">
        <is>
          <t>구현 완료</t>
        </is>
      </c>
      <c r="F74" s="6" t="inlineStr">
        <is>
          <t>404 응답 + 화면 오류</t>
        </is>
      </c>
      <c r="G74" s="6" t="inlineStr">
        <is>
          <t>화면 확인</t>
        </is>
      </c>
      <c r="H74" s="6" t="inlineStr">
        <is>
          <t>e401</t>
        </is>
      </c>
    </row>
  </sheetData>
  <autoFilter ref="A1:H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30" customWidth="1" min="4" max="4"/>
    <col width="11" customWidth="1" min="5" max="5"/>
    <col width="32" customWidth="1" min="6" max="6"/>
    <col width="30" customWidth="1" min="7" max="7"/>
    <col width="38" customWidth="1" min="8" max="8"/>
  </cols>
  <sheetData>
    <row r="1">
      <c r="A1" s="5" t="inlineStr">
        <is>
          <t>요구사항 ID</t>
        </is>
      </c>
      <c r="B1" s="5" t="inlineStr">
        <is>
          <t>유즈케이스/분류</t>
        </is>
      </c>
      <c r="C1" s="5" t="inlineStr">
        <is>
          <t>요구사항명</t>
        </is>
      </c>
      <c r="D1" s="5" t="inlineStr">
        <is>
          <t>요구 내용</t>
        </is>
      </c>
      <c r="E1" s="5" t="inlineStr">
        <is>
          <t>구현 상태</t>
        </is>
      </c>
      <c r="F1" s="5" t="inlineStr">
        <is>
          <t>구현 위치</t>
        </is>
      </c>
      <c r="G1" s="5" t="inlineStr">
        <is>
          <t>검증 방법</t>
        </is>
      </c>
      <c r="H1" s="5" t="inlineStr">
        <is>
          <t>비고</t>
        </is>
      </c>
    </row>
    <row r="2">
      <c r="A2" s="15" t="inlineStr">
        <is>
          <t>NF-101</t>
        </is>
      </c>
      <c r="B2" s="16" t="inlineStr">
        <is>
          <t>성능</t>
        </is>
      </c>
      <c r="C2" s="16" t="inlineStr">
        <is>
          <t>응답시간</t>
        </is>
      </c>
      <c r="D2" s="16" t="inlineStr">
        <is>
          <t>일반 요청 3초 이내 응답</t>
        </is>
      </c>
      <c r="E2" s="13" t="inlineStr">
        <is>
          <t>부분 구현</t>
        </is>
      </c>
      <c r="F2" s="16" t="inlineStr">
        <is>
          <t>FastAPI + SQLite</t>
        </is>
      </c>
      <c r="G2" s="16" t="inlineStr">
        <is>
          <t>실측</t>
        </is>
      </c>
      <c r="H2" s="16" t="inlineStr">
        <is>
          <t>일반 CRUD는 즉시 응답. LLM 생성 요청은 수십 초(별도 안내 표시)</t>
        </is>
      </c>
    </row>
    <row r="3">
      <c r="A3" s="7" t="inlineStr">
        <is>
          <t>NF-102</t>
        </is>
      </c>
      <c r="B3" s="6" t="inlineStr">
        <is>
          <t>성능</t>
        </is>
      </c>
      <c r="C3" s="6" t="inlineStr">
        <is>
          <t>진행상황 갱신</t>
        </is>
      </c>
      <c r="D3" s="6" t="inlineStr">
        <is>
          <t>실행 상태 5초 이내 주기 갱신</t>
        </is>
      </c>
      <c r="E3" s="12" t="inlineStr">
        <is>
          <t>구현 완료</t>
        </is>
      </c>
      <c r="F3" s="6" t="inlineStr">
        <is>
          <t>web 3초 폴링</t>
        </is>
      </c>
      <c r="G3" s="6" t="inlineStr">
        <is>
          <t>실측 (실행 화면)</t>
        </is>
      </c>
      <c r="H3" s="6" t="inlineStr"/>
    </row>
    <row r="4">
      <c r="A4" s="7" t="inlineStr">
        <is>
          <t>NF-103</t>
        </is>
      </c>
      <c r="B4" s="6" t="inlineStr">
        <is>
          <t>성능</t>
        </is>
      </c>
      <c r="C4" s="6" t="inlineStr">
        <is>
          <t>작업 분배 성능</t>
        </is>
      </c>
      <c r="D4" s="6" t="inlineStr">
        <is>
          <t>실행 요청 후 60초 내 분배</t>
        </is>
      </c>
      <c r="E4" s="12" t="inlineStr">
        <is>
          <t>구현 완료</t>
        </is>
      </c>
      <c r="F4" s="6" t="inlineStr">
        <is>
          <t>즉시 ready 전환 + 3초 폴링</t>
        </is>
      </c>
      <c r="G4" s="6" t="inlineStr">
        <is>
          <t>실측 (수 초 내 할당)</t>
        </is>
      </c>
      <c r="H4" s="6" t="inlineStr"/>
    </row>
    <row r="5">
      <c r="A5" s="7" t="inlineStr">
        <is>
          <t>NF-104</t>
        </is>
      </c>
      <c r="B5" s="6" t="inlineStr">
        <is>
          <t>성능</t>
        </is>
      </c>
      <c r="C5" s="6" t="inlineStr">
        <is>
          <t>결과 조회 성능</t>
        </is>
      </c>
      <c r="D5" s="6" t="inlineStr">
        <is>
          <t>이력·결과 조회 5초 이내</t>
        </is>
      </c>
      <c r="E5" s="12" t="inlineStr">
        <is>
          <t>구현 완료</t>
        </is>
      </c>
      <c r="F5" s="6" t="inlineStr">
        <is>
          <t>GET /executions</t>
        </is>
      </c>
      <c r="G5" s="6" t="inlineStr">
        <is>
          <t>실측</t>
        </is>
      </c>
      <c r="H5" s="6" t="inlineStr"/>
    </row>
    <row r="6">
      <c r="A6" s="7" t="inlineStr">
        <is>
          <t>NF-105</t>
        </is>
      </c>
      <c r="B6" s="6" t="inlineStr">
        <is>
          <t>성능</t>
        </is>
      </c>
      <c r="C6" s="6" t="inlineStr">
        <is>
          <t>데이터 저장</t>
        </is>
      </c>
      <c r="D6" s="6" t="inlineStr">
        <is>
          <t>결과·이력 저장, 실패 시 재시도</t>
        </is>
      </c>
      <c r="E6" s="13" t="inlineStr">
        <is>
          <t>부분 구현</t>
        </is>
      </c>
      <c r="F6" s="6" t="inlineStr">
        <is>
          <t>SQLAlchemy 트랜잭션</t>
        </is>
      </c>
      <c r="G6" s="6" t="inlineStr">
        <is>
          <t>코드 검토</t>
        </is>
      </c>
      <c r="H6" s="6" t="inlineStr">
        <is>
          <t>저장은 구현, 실패 재시도 로직 없음</t>
        </is>
      </c>
    </row>
    <row r="7">
      <c r="A7" s="15" t="inlineStr">
        <is>
          <t>NF-201</t>
        </is>
      </c>
      <c r="B7" s="16" t="inlineStr">
        <is>
          <t>보안</t>
        </is>
      </c>
      <c r="C7" s="16" t="inlineStr">
        <is>
          <t>사용자 인증</t>
        </is>
      </c>
      <c r="D7" s="16" t="inlineStr">
        <is>
          <t>인증 사용자만 접근</t>
        </is>
      </c>
      <c r="E7" s="12" t="inlineStr">
        <is>
          <t>구현 완료</t>
        </is>
      </c>
      <c r="F7" s="16" t="inlineStr">
        <is>
          <t>JWT (전 라우트) + 기기 api_key</t>
        </is>
      </c>
      <c r="G7" s="16" t="inlineStr">
        <is>
          <t>E2E 자동 테스트</t>
        </is>
      </c>
      <c r="H7" s="16" t="inlineStr"/>
    </row>
    <row r="8">
      <c r="A8" s="7" t="inlineStr">
        <is>
          <t>NF-202</t>
        </is>
      </c>
      <c r="B8" s="6" t="inlineStr">
        <is>
          <t>보안</t>
        </is>
      </c>
      <c r="C8" s="6" t="inlineStr">
        <is>
          <t>접근 권한 관리</t>
        </is>
      </c>
      <c r="D8" s="6" t="inlineStr">
        <is>
          <t>본인 자원만 조회 가능</t>
        </is>
      </c>
      <c r="E8" s="12" t="inlineStr">
        <is>
          <t>구현 완료</t>
        </is>
      </c>
      <c r="F8" s="6" t="inlineStr">
        <is>
          <t>user_id 필터, 타인 자원 404</t>
        </is>
      </c>
      <c r="G8" s="6" t="inlineStr">
        <is>
          <t>코드 검토</t>
        </is>
      </c>
      <c r="H8" s="6" t="inlineStr"/>
    </row>
    <row r="9">
      <c r="A9" s="7" t="inlineStr">
        <is>
          <t>NF-203</t>
        </is>
      </c>
      <c r="B9" s="6" t="inlineStr">
        <is>
          <t>보안</t>
        </is>
      </c>
      <c r="C9" s="6" t="inlineStr">
        <is>
          <t>데이터 암호화</t>
        </is>
      </c>
      <c r="D9" s="6" t="inlineStr">
        <is>
          <t>클라이언트-서버 HTTPS</t>
        </is>
      </c>
      <c r="E9" s="14" t="inlineStr">
        <is>
          <t>미구현</t>
        </is>
      </c>
      <c r="F9" s="6" t="inlineStr">
        <is>
          <t>-</t>
        </is>
      </c>
      <c r="G9" s="6" t="inlineStr">
        <is>
          <t>-</t>
        </is>
      </c>
      <c r="H9" s="6" t="inlineStr">
        <is>
          <t>개발 환경 HTTP, 배포 시 적용 필요</t>
        </is>
      </c>
    </row>
    <row r="10">
      <c r="A10" s="7" t="inlineStr">
        <is>
          <t>NF-204</t>
        </is>
      </c>
      <c r="B10" s="6" t="inlineStr">
        <is>
          <t>보안</t>
        </is>
      </c>
      <c r="C10" s="6" t="inlineStr">
        <is>
          <t>개인정보 보호</t>
        </is>
      </c>
      <c r="D10" s="6" t="inlineStr">
        <is>
          <t>계정·기기 정보 안전 저장</t>
        </is>
      </c>
      <c r="E10" s="13" t="inlineStr">
        <is>
          <t>부분 구현</t>
        </is>
      </c>
      <c r="F10" s="6" t="inlineStr">
        <is>
          <t>비밀번호 pbkdf2 해시</t>
        </is>
      </c>
      <c r="G10" s="6" t="inlineStr">
        <is>
          <t>코드 검토</t>
        </is>
      </c>
      <c r="H10" s="6" t="inlineStr">
        <is>
          <t>기기 api_key는 평문 저장(개선 예정)</t>
        </is>
      </c>
    </row>
    <row r="11">
      <c r="A11" s="7" t="inlineStr">
        <is>
          <t>NF-205</t>
        </is>
      </c>
      <c r="B11" s="6" t="inlineStr">
        <is>
          <t>보안</t>
        </is>
      </c>
      <c r="C11" s="6" t="inlineStr">
        <is>
          <t>비정상 접근 탐지</t>
        </is>
      </c>
      <c r="D11" s="6" t="inlineStr">
        <is>
          <t>비정상 로그인 감지·기록</t>
        </is>
      </c>
      <c r="E11" s="14" t="inlineStr">
        <is>
          <t>미구현</t>
        </is>
      </c>
      <c r="F11" s="6" t="inlineStr">
        <is>
          <t>-</t>
        </is>
      </c>
      <c r="G11" s="6" t="inlineStr">
        <is>
          <t>-</t>
        </is>
      </c>
      <c r="H11" s="6" t="inlineStr">
        <is>
          <t>차기 단계</t>
        </is>
      </c>
    </row>
    <row r="12">
      <c r="A12" s="7" t="inlineStr">
        <is>
          <t>NF-206</t>
        </is>
      </c>
      <c r="B12" s="6" t="inlineStr">
        <is>
          <t>보안</t>
        </is>
      </c>
      <c r="C12" s="6" t="inlineStr">
        <is>
          <t>장애 기기 대응</t>
        </is>
      </c>
      <c r="D12" s="6" t="inlineStr">
        <is>
          <t>단절 기기 작업 재할당</t>
        </is>
      </c>
      <c r="E12" s="12" t="inlineStr">
        <is>
          <t>구현 완료</t>
        </is>
      </c>
      <c r="F12" s="6" t="inlineStr">
        <is>
          <t>reclaim_stale_tasks()</t>
        </is>
      </c>
      <c r="G12" s="6" t="inlineStr">
        <is>
          <t>코드 검토 + 동시성 테스트</t>
        </is>
      </c>
      <c r="H12" s="6" t="inlineStr">
        <is>
          <t>하트비트 30초 타임아웃</t>
        </is>
      </c>
    </row>
    <row r="13">
      <c r="A13" s="7" t="inlineStr">
        <is>
          <t>NF-207</t>
        </is>
      </c>
      <c r="B13" s="6" t="inlineStr">
        <is>
          <t>보안</t>
        </is>
      </c>
      <c r="C13" s="6" t="inlineStr">
        <is>
          <t>로그 기록</t>
        </is>
      </c>
      <c r="D13" s="6" t="inlineStr">
        <is>
          <t>주요 이벤트 저장</t>
        </is>
      </c>
      <c r="E13" s="14" t="inlineStr">
        <is>
          <t>미구현</t>
        </is>
      </c>
      <c r="F13" s="6" t="inlineStr">
        <is>
          <t>-</t>
        </is>
      </c>
      <c r="G13" s="6" t="inlineStr">
        <is>
          <t>-</t>
        </is>
      </c>
      <c r="H13" s="6" t="inlineStr">
        <is>
          <t>uvicorn 접근 로그만 존재, 차기 단계</t>
        </is>
      </c>
    </row>
    <row r="14">
      <c r="A14" s="7" t="inlineStr">
        <is>
          <t>NF-208</t>
        </is>
      </c>
      <c r="B14" s="6" t="inlineStr">
        <is>
          <t>보안</t>
        </is>
      </c>
      <c r="C14" s="6" t="inlineStr">
        <is>
          <t>데이터 무결성</t>
        </is>
      </c>
      <c r="D14" s="6" t="inlineStr">
        <is>
          <t>저장·전송 무결성 보장</t>
        </is>
      </c>
      <c r="E14" s="13" t="inlineStr">
        <is>
          <t>부분 구현</t>
        </is>
      </c>
      <c r="F14" s="6" t="inlineStr">
        <is>
          <t>DB 트랜잭션 + WAL</t>
        </is>
      </c>
      <c r="G14" s="6" t="inlineStr">
        <is>
          <t>코드 검토</t>
        </is>
      </c>
      <c r="H14" s="6" t="inlineStr">
        <is>
          <t>전송 체크섬 등은 없음</t>
        </is>
      </c>
    </row>
    <row r="15">
      <c r="A15" s="15" t="inlineStr">
        <is>
          <t>NF-301</t>
        </is>
      </c>
      <c r="B15" s="16" t="inlineStr">
        <is>
          <t>기타</t>
        </is>
      </c>
      <c r="C15" s="16" t="inlineStr">
        <is>
          <t>사용성</t>
        </is>
      </c>
      <c r="D15" s="16" t="inlineStr">
        <is>
          <t>매뉴얼 없이 주요 기능 사용</t>
        </is>
      </c>
      <c r="E15" s="12" t="inlineStr">
        <is>
          <t>구현 완료</t>
        </is>
      </c>
      <c r="F15" s="16" t="inlineStr">
        <is>
          <t>블록코딩 UI + 프리셋 + 안내 문구</t>
        </is>
      </c>
      <c r="G15" s="16" t="inlineStr">
        <is>
          <t>정성 평가</t>
        </is>
      </c>
      <c r="H15" s="16" t="inlineStr"/>
    </row>
    <row r="16">
      <c r="A16" s="7" t="inlineStr">
        <is>
          <t>NF-302</t>
        </is>
      </c>
      <c r="B16" s="6" t="inlineStr">
        <is>
          <t>기타</t>
        </is>
      </c>
      <c r="C16" s="6" t="inlineStr">
        <is>
          <t>유지보수성</t>
        </is>
      </c>
      <c r="D16" s="6" t="inlineStr">
        <is>
          <t>기능별 모듈 구조</t>
        </is>
      </c>
      <c r="E16" s="12" t="inlineStr">
        <is>
          <t>구현 완료</t>
        </is>
      </c>
      <c r="F16" s="6" t="inlineStr">
        <is>
          <t>routers/services/agent 모듈 분리</t>
        </is>
      </c>
      <c r="G16" s="6" t="inlineStr">
        <is>
          <t>코드 검토</t>
        </is>
      </c>
      <c r="H16" s="6" t="inlineStr"/>
    </row>
    <row r="17">
      <c r="A17" s="7" t="inlineStr">
        <is>
          <t>NF-303</t>
        </is>
      </c>
      <c r="B17" s="6" t="inlineStr">
        <is>
          <t>기타</t>
        </is>
      </c>
      <c r="C17" s="6" t="inlineStr">
        <is>
          <t>신뢰성</t>
        </is>
      </c>
      <c r="D17" s="6" t="inlineStr">
        <is>
          <t>실패 시 오류 원인 제공</t>
        </is>
      </c>
      <c r="E17" s="12" t="inlineStr">
        <is>
          <t>구현 완료</t>
        </is>
      </c>
      <c r="F17" s="6" t="inlineStr">
        <is>
          <t>모든 오류 응답에 사유(detail)</t>
        </is>
      </c>
      <c r="G17" s="6" t="inlineStr">
        <is>
          <t>E2E + 화면 확인</t>
        </is>
      </c>
      <c r="H17" s="6" t="inlineStr"/>
    </row>
    <row r="18">
      <c r="A18" s="7" t="inlineStr">
        <is>
          <t>NF-304</t>
        </is>
      </c>
      <c r="B18" s="6" t="inlineStr">
        <is>
          <t>기타</t>
        </is>
      </c>
      <c r="C18" s="6" t="inlineStr">
        <is>
          <t>확장성</t>
        </is>
      </c>
      <c r="D18" s="6" t="inlineStr">
        <is>
          <t>새 기기·에이전트 추가 가능</t>
        </is>
      </c>
      <c r="E18" s="12" t="inlineStr">
        <is>
          <t>구현 완료</t>
        </is>
      </c>
      <c r="F18" s="6" t="inlineStr">
        <is>
          <t>개방형 기기 등록 + 블록 프리셋</t>
        </is>
      </c>
      <c r="G18" s="6" t="inlineStr">
        <is>
          <t>실기기 데모</t>
        </is>
      </c>
      <c r="H18" s="6" t="inlineStr"/>
    </row>
    <row r="19">
      <c r="A19" s="7" t="inlineStr">
        <is>
          <t>NF-305</t>
        </is>
      </c>
      <c r="B19" s="6" t="inlineStr">
        <is>
          <t>기타</t>
        </is>
      </c>
      <c r="C19" s="6" t="inlineStr">
        <is>
          <t>재사용성</t>
        </is>
      </c>
      <c r="D19" s="6" t="inlineStr">
        <is>
          <t>에이전트·구성요소 재사용</t>
        </is>
      </c>
      <c r="E19" s="13" t="inlineStr">
        <is>
          <t>부분 구현</t>
        </is>
      </c>
      <c r="F19" s="6" t="inlineStr">
        <is>
          <t>역할 프리셋 블록</t>
        </is>
      </c>
      <c r="G19" s="6" t="inlineStr">
        <is>
          <t>화면 확인</t>
        </is>
      </c>
      <c r="H19" s="6" t="inlineStr">
        <is>
          <t>서비스 간 에이전트 공유는 미지원</t>
        </is>
      </c>
    </row>
    <row r="20">
      <c r="A20" s="7" t="inlineStr">
        <is>
          <t>NF-306</t>
        </is>
      </c>
      <c r="B20" s="6" t="inlineStr">
        <is>
          <t>기타</t>
        </is>
      </c>
      <c r="C20" s="6" t="inlineStr">
        <is>
          <t>결과 보관 정책</t>
        </is>
      </c>
      <c r="D20" s="6" t="inlineStr">
        <is>
          <t>결과·이력 30일 이상 보관</t>
        </is>
      </c>
      <c r="E20" s="12" t="inlineStr">
        <is>
          <t>구현 완료</t>
        </is>
      </c>
      <c r="F20" s="6" t="inlineStr">
        <is>
          <t>DB 영구 보관</t>
        </is>
      </c>
      <c r="G20" s="6" t="inlineStr">
        <is>
          <t>코드 검토</t>
        </is>
      </c>
      <c r="H20" s="6" t="inlineStr">
        <is>
          <t>삭제 정책 없음(무기한), 정리 정책은 차기</t>
        </is>
      </c>
    </row>
    <row r="21">
      <c r="A21" s="7" t="inlineStr">
        <is>
          <t>NF-307</t>
        </is>
      </c>
      <c r="B21" s="6" t="inlineStr">
        <is>
          <t>기타</t>
        </is>
      </c>
      <c r="C21" s="6" t="inlineStr">
        <is>
          <t>시스템 로그 보관</t>
        </is>
      </c>
      <c r="D21" s="6" t="inlineStr">
        <is>
          <t>주요 로그 30일 이상 보관</t>
        </is>
      </c>
      <c r="E21" s="14" t="inlineStr">
        <is>
          <t>미구현</t>
        </is>
      </c>
      <c r="F21" s="6" t="inlineStr">
        <is>
          <t>-</t>
        </is>
      </c>
      <c r="G21" s="6" t="inlineStr">
        <is>
          <t>-</t>
        </is>
      </c>
      <c r="H21" s="6" t="inlineStr">
        <is>
          <t>NF-207 선행 필요</t>
        </is>
      </c>
    </row>
    <row r="22">
      <c r="A22" s="15" t="inlineStr">
        <is>
          <t>OR-101</t>
        </is>
      </c>
      <c r="B22" s="16" t="inlineStr">
        <is>
          <t>법적</t>
        </is>
      </c>
      <c r="C22" s="16" t="inlineStr">
        <is>
          <t>오픈소스 라이선스 준수</t>
        </is>
      </c>
      <c r="D22" s="16" t="inlineStr">
        <is>
          <t>사용 오픈소스 라이선스 준수</t>
        </is>
      </c>
      <c r="E22" s="12" t="inlineStr">
        <is>
          <t>구현 완료</t>
        </is>
      </c>
      <c r="F22" s="16" t="inlineStr">
        <is>
          <t>FastAPI·React·React Flow·Ollama 등</t>
        </is>
      </c>
      <c r="G22" s="16" t="inlineStr">
        <is>
          <t>라이선스 확인</t>
        </is>
      </c>
      <c r="H22" s="16" t="inlineStr">
        <is>
          <t>MIT/Apache/BSD 계열</t>
        </is>
      </c>
    </row>
    <row r="23">
      <c r="A23" s="7" t="inlineStr">
        <is>
          <t>OR-102</t>
        </is>
      </c>
      <c r="B23" s="6" t="inlineStr">
        <is>
          <t>법적</t>
        </is>
      </c>
      <c r="C23" s="6" t="inlineStr">
        <is>
          <t>API 사용 정책 준수</t>
        </is>
      </c>
      <c r="D23" s="6" t="inlineStr">
        <is>
          <t>외부 API 정책·제한 준수</t>
        </is>
      </c>
      <c r="E23" s="12" t="inlineStr">
        <is>
          <t>구현 완료</t>
        </is>
      </c>
      <c r="F23" s="6" t="inlineStr">
        <is>
          <t>현재 외부 API 미사용</t>
        </is>
      </c>
      <c r="G23" s="6" t="inlineStr">
        <is>
          <t>-</t>
        </is>
      </c>
      <c r="H23" s="6" t="inlineStr">
        <is>
          <t>로컬 LLM만 사용, 외부 연동 시 재검토</t>
        </is>
      </c>
    </row>
  </sheetData>
  <autoFilter ref="A1:H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2026-07-12T16:19:07Z</dcterms:created>
  <dcterms:modified xsi:type="dcterms:W3CDTF">2026-07-12T16:19:07Z</dcterms:modified>
</cp:coreProperties>
</file>