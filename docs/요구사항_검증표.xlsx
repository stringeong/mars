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기능 요구사항" sheetId="2" state="visible" r:id="rId4"/>
    <sheet name="비기능·기타" sheetId="3" state="visible" r:id="rId5"/>
  </sheets>
  <definedNames>
    <definedName function="false" hidden="true" localSheetId="1" name="_xlnm._FilterDatabase" vbProcedure="false">'기능 요구사항'!$A$1:$H$77</definedName>
    <definedName function="false" hidden="true" localSheetId="2" name="_xlnm._FilterDatabase" vbProcedure="false">비기능·기타!$A$1:$H$23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<sst xmlns="http://schemas.openxmlformats.org/spreadsheetml/2006/main" count="783" uniqueCount="515">
  <si>
    <r>
      <rPr>
        <b val="true"/>
        <sz val="16"/>
        <rFont val="Arial"/>
        <family val="0"/>
        <charset val="1"/>
      </rPr>
      <t xml:space="preserve">M.A.R.S </t>
    </r>
    <r>
      <rPr>
        <b val="true"/>
        <sz val="16"/>
        <rFont val="나눔고딕"/>
        <family val="2"/>
      </rPr>
      <t xml:space="preserve">요구사항 검증표</t>
    </r>
  </si>
  <si>
    <r>
      <rPr>
        <sz val="10"/>
        <color rgb="FF6B7280"/>
        <rFont val="나눔고딕"/>
        <family val="2"/>
      </rPr>
      <t xml:space="preserve">소프트웨어 요구사항 정의서</t>
    </r>
    <r>
      <rPr>
        <sz val="10"/>
        <color rgb="FF6B7280"/>
        <rFont val="Arial"/>
        <family val="0"/>
        <charset val="1"/>
      </rPr>
      <t xml:space="preserve">(UC-101~206, F1/F2, NF, OR) </t>
    </r>
    <r>
      <rPr>
        <sz val="10"/>
        <color rgb="FF6B7280"/>
        <rFont val="나눔고딕"/>
        <family val="2"/>
      </rPr>
      <t xml:space="preserve">대비 구현</t>
    </r>
    <r>
      <rPr>
        <sz val="10"/>
        <color rgb="FF6B7280"/>
        <rFont val="Arial"/>
        <family val="0"/>
        <charset val="1"/>
      </rPr>
      <t xml:space="preserve">·</t>
    </r>
    <r>
      <rPr>
        <sz val="10"/>
        <color rgb="FF6B7280"/>
        <rFont val="나눔고딕"/>
        <family val="2"/>
      </rPr>
      <t xml:space="preserve">검증 현황</t>
    </r>
  </si>
  <si>
    <t xml:space="preserve">프로젝트</t>
  </si>
  <si>
    <r>
      <rPr>
        <sz val="10"/>
        <rFont val="Arial"/>
        <family val="0"/>
        <charset val="1"/>
      </rPr>
      <t xml:space="preserve">M.A.R.S — MAS And Resource Sharing (</t>
    </r>
    <r>
      <rPr>
        <sz val="10"/>
        <rFont val="나눔고딕"/>
        <family val="2"/>
      </rPr>
      <t xml:space="preserve">충북대 </t>
    </r>
    <r>
      <rPr>
        <sz val="10"/>
        <rFont val="Arial"/>
        <family val="0"/>
        <charset val="1"/>
      </rPr>
      <t xml:space="preserve">SW</t>
    </r>
    <r>
      <rPr>
        <sz val="10"/>
        <rFont val="나눔고딕"/>
        <family val="2"/>
      </rPr>
      <t xml:space="preserve">학부 졸업작품</t>
    </r>
    <r>
      <rPr>
        <sz val="10"/>
        <rFont val="Arial"/>
        <family val="0"/>
        <charset val="1"/>
      </rPr>
      <t xml:space="preserve">)</t>
    </r>
  </si>
  <si>
    <t xml:space="preserve">작성일</t>
  </si>
  <si>
    <t xml:space="preserve">2026-07-13</t>
  </si>
  <si>
    <t xml:space="preserve">최종 갱신</t>
  </si>
  <si>
    <r>
      <rPr>
        <sz val="10"/>
        <rFont val="Arial"/>
        <family val="0"/>
        <charset val="1"/>
      </rPr>
      <t xml:space="preserve">2026-07-20 — </t>
    </r>
    <r>
      <rPr>
        <sz val="10"/>
        <rFont val="나눔고딕"/>
        <family val="2"/>
      </rPr>
      <t xml:space="preserve">중단 전파</t>
    </r>
    <r>
      <rPr>
        <sz val="10"/>
        <rFont val="Arial"/>
        <family val="0"/>
        <charset val="1"/>
      </rPr>
      <t xml:space="preserve">(F2-407), </t>
    </r>
    <r>
      <rPr>
        <sz val="10"/>
        <rFont val="나눔고딕"/>
        <family val="2"/>
      </rPr>
      <t xml:space="preserve">이벤트 로그</t>
    </r>
    <r>
      <rPr>
        <sz val="10"/>
        <rFont val="Arial"/>
        <family val="0"/>
        <charset val="1"/>
      </rPr>
      <t xml:space="preserve">(NF-205/207/307), </t>
    </r>
    <r>
      <rPr>
        <sz val="10"/>
        <rFont val="나눔고딕"/>
        <family val="2"/>
      </rPr>
      <t xml:space="preserve">회원정보 수정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기기명 변경 </t>
    </r>
    <r>
      <rPr>
        <sz val="10"/>
        <rFont val="Arial"/>
        <family val="0"/>
        <charset val="1"/>
      </rPr>
      <t xml:space="preserve">UI </t>
    </r>
    <r>
      <rPr>
        <sz val="10"/>
        <rFont val="나눔고딕"/>
        <family val="2"/>
      </rPr>
      <t xml:space="preserve">반영</t>
    </r>
  </si>
  <si>
    <t xml:space="preserve">검증 기준</t>
  </si>
  <si>
    <r>
      <rPr>
        <sz val="10"/>
        <rFont val="Arial"/>
        <family val="0"/>
        <charset val="1"/>
      </rPr>
      <t xml:space="preserve">E2E </t>
    </r>
    <r>
      <rPr>
        <sz val="10"/>
        <rFont val="나눔고딕"/>
        <family val="2"/>
      </rPr>
      <t xml:space="preserve">자동 테스트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실기기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실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데모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동시성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샌드박스 테스트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컨텍스트 오염 검사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라이브 검증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코드 검토</t>
    </r>
  </si>
  <si>
    <t xml:space="preserve">저장소</t>
  </si>
  <si>
    <t xml:space="preserve">https://github.com/stringeong/mars</t>
  </si>
  <si>
    <t xml:space="preserve">구분</t>
  </si>
  <si>
    <t xml:space="preserve">구현 완료</t>
  </si>
  <si>
    <t xml:space="preserve">부분 구현</t>
  </si>
  <si>
    <t xml:space="preserve">미구현</t>
  </si>
  <si>
    <t xml:space="preserve">합계</t>
  </si>
  <si>
    <r>
      <rPr>
        <sz val="10"/>
        <rFont val="나눔고딕"/>
        <family val="2"/>
      </rPr>
      <t xml:space="preserve">기능 요구사항 </t>
    </r>
    <r>
      <rPr>
        <sz val="10"/>
        <rFont val="Arial"/>
        <family val="0"/>
        <charset val="1"/>
      </rPr>
      <t xml:space="preserve">(F1/F2)</t>
    </r>
  </si>
  <si>
    <r>
      <rPr>
        <sz val="10"/>
        <rFont val="나눔고딕"/>
        <family val="2"/>
      </rPr>
      <t xml:space="preserve">비기능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기타 </t>
    </r>
    <r>
      <rPr>
        <sz val="10"/>
        <rFont val="Arial"/>
        <family val="0"/>
        <charset val="1"/>
      </rPr>
      <t xml:space="preserve">(NF/OR)</t>
    </r>
  </si>
  <si>
    <t xml:space="preserve">전체</t>
  </si>
  <si>
    <r>
      <rPr>
        <b val="true"/>
        <sz val="10"/>
        <rFont val="나눔고딕"/>
        <family val="2"/>
      </rPr>
      <t xml:space="preserve">구현 완료율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완료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나눔고딕"/>
        <family val="2"/>
      </rPr>
      <t xml:space="preserve">전체</t>
    </r>
    <r>
      <rPr>
        <b val="true"/>
        <sz val="10"/>
        <rFont val="Arial"/>
        <family val="0"/>
        <charset val="1"/>
      </rPr>
      <t xml:space="preserve">)</t>
    </r>
  </si>
  <si>
    <t xml:space="preserve">상태 범례</t>
  </si>
  <si>
    <r>
      <rPr>
        <sz val="10"/>
        <rFont val="나눔고딕"/>
        <family val="2"/>
      </rPr>
      <t xml:space="preserve">요구 기능이 동작하며 테스트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데모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코드 검토로 확인됨</t>
    </r>
  </si>
  <si>
    <r>
      <rPr>
        <sz val="10"/>
        <rFont val="나눔고딕"/>
        <family val="2"/>
      </rPr>
      <t xml:space="preserve">핵심은 동작하나 요구사항 일부 미충족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비고 참조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</si>
  <si>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미착수 — 차기 단계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캡스톤</t>
    </r>
    <r>
      <rPr>
        <sz val="10"/>
        <rFont val="Arial"/>
        <family val="0"/>
        <charset val="1"/>
      </rPr>
      <t xml:space="preserve">2) </t>
    </r>
    <r>
      <rPr>
        <sz val="10"/>
        <rFont val="나눔고딕"/>
        <family val="2"/>
      </rPr>
      <t xml:space="preserve">반영 예정</t>
    </r>
  </si>
  <si>
    <r>
      <rPr>
        <b val="true"/>
        <sz val="10"/>
        <color rgb="FFFFFFFF"/>
        <rFont val="나눔고딕"/>
        <family val="2"/>
      </rPr>
      <t xml:space="preserve">요구사항 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</si>
  <si>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나눔고딕"/>
        <family val="2"/>
      </rPr>
      <t xml:space="preserve">유즈케이스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나눔고딕"/>
        <family val="2"/>
      </rPr>
      <t xml:space="preserve">분류</t>
    </r>
  </si>
  <si>
    <t xml:space="preserve">요구사항명</t>
  </si>
  <si>
    <t xml:space="preserve">요구 내용</t>
  </si>
  <si>
    <t xml:space="preserve">구현 상태</t>
  </si>
  <si>
    <t xml:space="preserve">구현 위치</t>
  </si>
  <si>
    <t xml:space="preserve">검증 방법</t>
  </si>
  <si>
    <t xml:space="preserve">비고</t>
  </si>
  <si>
    <t xml:space="preserve">F1-101</t>
  </si>
  <si>
    <r>
      <rPr>
        <sz val="10"/>
        <rFont val="Arial"/>
        <family val="0"/>
        <charset val="1"/>
      </rPr>
      <t xml:space="preserve">UC-101 </t>
    </r>
    <r>
      <rPr>
        <sz val="10"/>
        <rFont val="나눔고딕"/>
        <family val="2"/>
      </rPr>
      <t xml:space="preserve">회원가입</t>
    </r>
  </si>
  <si>
    <t xml:space="preserve">회원가입 양식 제공</t>
  </si>
  <si>
    <t xml:space="preserve">계정 생성 양식 제공</t>
  </si>
  <si>
    <t xml:space="preserve">web/src/pages/LoginPage.tsx</t>
  </si>
  <si>
    <r>
      <rPr>
        <sz val="10"/>
        <rFont val="Arial"/>
        <family val="0"/>
        <charset val="1"/>
      </rPr>
      <t xml:space="preserve">E2E </t>
    </r>
    <r>
      <rPr>
        <sz val="10"/>
        <rFont val="나눔고딕"/>
        <family val="2"/>
      </rPr>
      <t xml:space="preserve">자동 테스트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화면 확인</t>
    </r>
  </si>
  <si>
    <t xml:space="preserve">F1-102</t>
  </si>
  <si>
    <t xml:space="preserve">회원정보 입력</t>
  </si>
  <si>
    <r>
      <rPr>
        <sz val="10"/>
        <rFont val="나눔고딕"/>
        <family val="2"/>
      </rPr>
      <t xml:space="preserve">이메일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아이디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비밀번호 입력</t>
    </r>
  </si>
  <si>
    <r>
      <rPr>
        <sz val="10"/>
        <rFont val="Arial"/>
        <family val="0"/>
        <charset val="1"/>
      </rPr>
      <t xml:space="preserve">E2E </t>
    </r>
    <r>
      <rPr>
        <sz val="10"/>
        <rFont val="나눔고딕"/>
        <family val="2"/>
      </rPr>
      <t xml:space="preserve">자동 테스트</t>
    </r>
  </si>
  <si>
    <t xml:space="preserve">F1-103</t>
  </si>
  <si>
    <t xml:space="preserve">입력값 검증</t>
  </si>
  <si>
    <r>
      <rPr>
        <sz val="10"/>
        <rFont val="나눔고딕"/>
        <family val="2"/>
      </rPr>
      <t xml:space="preserve">양식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형식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길이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검증</t>
    </r>
  </si>
  <si>
    <t xml:space="preserve">server/app/schemas.py (UserCreate)</t>
  </si>
  <si>
    <r>
      <rPr>
        <sz val="10"/>
        <rFont val="나눔고딕"/>
        <family val="2"/>
      </rPr>
      <t xml:space="preserve">이메일 형식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아이디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자</t>
    </r>
    <r>
      <rPr>
        <sz val="10"/>
        <rFont val="Arial"/>
        <family val="0"/>
        <charset val="1"/>
      </rPr>
      <t xml:space="preserve">+, </t>
    </r>
    <r>
      <rPr>
        <sz val="10"/>
        <rFont val="나눔고딕"/>
        <family val="2"/>
      </rPr>
      <t xml:space="preserve">비밀번호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자</t>
    </r>
    <r>
      <rPr>
        <sz val="10"/>
        <rFont val="Arial"/>
        <family val="0"/>
        <charset val="1"/>
      </rPr>
      <t xml:space="preserve">+</t>
    </r>
  </si>
  <si>
    <t xml:space="preserve">F1-104</t>
  </si>
  <si>
    <t xml:space="preserve">중복 검증</t>
  </si>
  <si>
    <r>
      <rPr>
        <sz val="10"/>
        <rFont val="나눔고딕"/>
        <family val="2"/>
      </rPr>
      <t xml:space="preserve">아이디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이메일 중복 확인</t>
    </r>
  </si>
  <si>
    <t xml:space="preserve">server/app/routers/auth.py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</si>
  <si>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아이디 중복 거부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</si>
  <si>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409 </t>
    </r>
    <r>
      <rPr>
        <sz val="10"/>
        <rFont val="나눔고딕"/>
        <family val="2"/>
      </rPr>
      <t xml:space="preserve">응답</t>
    </r>
  </si>
  <si>
    <t xml:space="preserve">F1-105</t>
  </si>
  <si>
    <t xml:space="preserve">계정 생성</t>
  </si>
  <si>
    <t xml:space="preserve">유효 시 계정 생성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</si>
  <si>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회원가입</t>
    </r>
    <r>
      <rPr>
        <sz val="10"/>
        <rFont val="Arial"/>
        <family val="0"/>
        <charset val="1"/>
      </rPr>
      <t xml:space="preserve">'</t>
    </r>
  </si>
  <si>
    <r>
      <rPr>
        <sz val="10"/>
        <rFont val="나눔고딕"/>
        <family val="2"/>
      </rPr>
      <t xml:space="preserve">비밀번호 </t>
    </r>
    <r>
      <rPr>
        <sz val="10"/>
        <rFont val="Arial"/>
        <family val="0"/>
        <charset val="1"/>
      </rPr>
      <t xml:space="preserve">pbkdf2 </t>
    </r>
    <r>
      <rPr>
        <sz val="10"/>
        <rFont val="나눔고딕"/>
        <family val="2"/>
      </rPr>
      <t xml:space="preserve">해시 저장</t>
    </r>
  </si>
  <si>
    <t xml:space="preserve">F1-106</t>
  </si>
  <si>
    <t xml:space="preserve">가입 결과 제공</t>
  </si>
  <si>
    <r>
      <rPr>
        <sz val="10"/>
        <rFont val="나눔고딕"/>
        <family val="2"/>
      </rPr>
      <t xml:space="preserve">성공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실패 결과 제공</t>
    </r>
  </si>
  <si>
    <r>
      <rPr>
        <sz val="10"/>
        <rFont val="Arial"/>
        <family val="0"/>
        <charset val="1"/>
      </rPr>
      <t xml:space="preserve">web + API </t>
    </r>
    <r>
      <rPr>
        <sz val="10"/>
        <rFont val="나눔고딕"/>
        <family val="2"/>
      </rPr>
      <t xml:space="preserve">응답</t>
    </r>
  </si>
  <si>
    <r>
      <rPr>
        <sz val="10"/>
        <rFont val="Arial"/>
        <family val="0"/>
        <charset val="1"/>
      </rPr>
      <t xml:space="preserve">E2E + </t>
    </r>
    <r>
      <rPr>
        <sz val="10"/>
        <rFont val="나눔고딕"/>
        <family val="2"/>
      </rPr>
      <t xml:space="preserve">화면 확인</t>
    </r>
  </si>
  <si>
    <t xml:space="preserve">F1-107</t>
  </si>
  <si>
    <t xml:space="preserve">오류 메시지 제공</t>
  </si>
  <si>
    <t xml:space="preserve">중복 시 오류 메시지</t>
  </si>
  <si>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-5</t>
    </r>
  </si>
  <si>
    <t xml:space="preserve">회원정보 수정</t>
  </si>
  <si>
    <r>
      <rPr>
        <sz val="10"/>
        <rFont val="나눔고딕"/>
        <family val="2"/>
      </rPr>
      <t xml:space="preserve">이메일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비밀번호 변경</t>
    </r>
  </si>
  <si>
    <r>
      <rPr>
        <sz val="10"/>
        <rFont val="Arial"/>
        <family val="0"/>
        <charset val="1"/>
      </rPr>
      <t xml:space="preserve">PATCH /auth/me + </t>
    </r>
    <r>
      <rPr>
        <sz val="10"/>
        <rFont val="나눔고딕"/>
        <family val="2"/>
      </rPr>
      <t xml:space="preserve">내 정보 화면</t>
    </r>
  </si>
  <si>
    <r>
      <rPr>
        <sz val="10"/>
        <rFont val="나눔고딕"/>
        <family val="2"/>
      </rPr>
      <t xml:space="preserve">라이브 검증 — 이메일 변경 성공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잘못된 현재 비밀번호 </t>
    </r>
    <r>
      <rPr>
        <sz val="10"/>
        <rFont val="Arial"/>
        <family val="0"/>
        <charset val="1"/>
      </rPr>
      <t xml:space="preserve">401 </t>
    </r>
    <r>
      <rPr>
        <sz val="10"/>
        <rFont val="나눔고딕"/>
        <family val="2"/>
      </rPr>
      <t xml:space="preserve">거부</t>
    </r>
  </si>
  <si>
    <r>
      <rPr>
        <sz val="10"/>
        <rFont val="나눔고딕"/>
        <family val="2"/>
      </rPr>
      <t xml:space="preserve">인터페이스 요구 </t>
    </r>
    <r>
      <rPr>
        <sz val="10"/>
        <rFont val="Arial"/>
        <family val="0"/>
        <charset val="1"/>
      </rPr>
      <t xml:space="preserve">1). </t>
    </r>
    <r>
      <rPr>
        <sz val="10"/>
        <rFont val="나눔고딕"/>
        <family val="2"/>
      </rPr>
      <t xml:space="preserve">본인 확인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현재 비밀번호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필수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수정 이벤트 기록</t>
    </r>
  </si>
  <si>
    <t xml:space="preserve">F1-201</t>
  </si>
  <si>
    <r>
      <rPr>
        <sz val="10"/>
        <rFont val="Arial"/>
        <family val="0"/>
        <charset val="1"/>
      </rPr>
      <t xml:space="preserve">UC-102 </t>
    </r>
    <r>
      <rPr>
        <sz val="10"/>
        <rFont val="나눔고딕"/>
        <family val="2"/>
      </rPr>
      <t xml:space="preserve">로그인</t>
    </r>
  </si>
  <si>
    <t xml:space="preserve">로그인 양식 제공</t>
  </si>
  <si>
    <t xml:space="preserve">화면 확인</t>
  </si>
  <si>
    <t xml:space="preserve">F1-202</t>
  </si>
  <si>
    <t xml:space="preserve">로그인 입력</t>
  </si>
  <si>
    <r>
      <rPr>
        <sz val="10"/>
        <rFont val="나눔고딕"/>
        <family val="2"/>
      </rPr>
      <t xml:space="preserve">아이디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비밀번호 입력</t>
    </r>
  </si>
  <si>
    <t xml:space="preserve">F1-203</t>
  </si>
  <si>
    <t xml:space="preserve">사용자 인증</t>
  </si>
  <si>
    <t xml:space="preserve">계정 정보 일치 확인</t>
  </si>
  <si>
    <t xml:space="preserve">server/app/security.py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</si>
  <si>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로그인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</si>
  <si>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JWT </t>
    </r>
    <r>
      <rPr>
        <sz val="10"/>
        <rFont val="나눔고딕"/>
        <family val="2"/>
      </rPr>
      <t xml:space="preserve">발급</t>
    </r>
  </si>
  <si>
    <t xml:space="preserve">F1-204</t>
  </si>
  <si>
    <t xml:space="preserve">로그인 성공 처리</t>
  </si>
  <si>
    <t xml:space="preserve">인증 성공 시 서비스 접근</t>
  </si>
  <si>
    <r>
      <rPr>
        <sz val="10"/>
        <rFont val="나눔고딕"/>
        <family val="2"/>
      </rPr>
      <t xml:space="preserve">전체 라우트 </t>
    </r>
    <r>
      <rPr>
        <sz val="10"/>
        <rFont val="Arial"/>
        <family val="0"/>
        <charset val="1"/>
      </rPr>
      <t xml:space="preserve">JWT </t>
    </r>
    <r>
      <rPr>
        <sz val="10"/>
        <rFont val="나눔고딕"/>
        <family val="2"/>
      </rPr>
      <t xml:space="preserve">검사</t>
    </r>
  </si>
  <si>
    <t xml:space="preserve">F1-205</t>
  </si>
  <si>
    <t xml:space="preserve">로그인 실패 메시지</t>
  </si>
  <si>
    <t xml:space="preserve">인증 실패 시 메시지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</si>
  <si>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로그인 실패 처리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</si>
  <si>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401 </t>
    </r>
    <r>
      <rPr>
        <sz val="10"/>
        <rFont val="나눔고딕"/>
        <family val="2"/>
      </rPr>
      <t xml:space="preserve">응답</t>
    </r>
  </si>
  <si>
    <t xml:space="preserve">F1-301</t>
  </si>
  <si>
    <r>
      <rPr>
        <sz val="10"/>
        <rFont val="Arial"/>
        <family val="0"/>
        <charset val="1"/>
      </rPr>
      <t xml:space="preserve">UC-103 </t>
    </r>
    <r>
      <rPr>
        <sz val="10"/>
        <rFont val="나눔고딕"/>
        <family val="2"/>
      </rPr>
      <t xml:space="preserve">기기 등록</t>
    </r>
  </si>
  <si>
    <t xml:space="preserve">기기명 입력</t>
  </si>
  <si>
    <t xml:space="preserve">등록할 기기 명칭 입력</t>
  </si>
  <si>
    <t xml:space="preserve">worker/agent/main.py (register CLI)</t>
  </si>
  <si>
    <t xml:space="preserve">실기기 등록 데모</t>
  </si>
  <si>
    <t xml:space="preserve">F1-302</t>
  </si>
  <si>
    <t xml:space="preserve">접근 권한 범위 지정</t>
  </si>
  <si>
    <r>
      <rPr>
        <sz val="10"/>
        <rFont val="나눔고딕"/>
        <family val="2"/>
      </rPr>
      <t xml:space="preserve">허용 파일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폴더 범위 지정</t>
    </r>
  </si>
  <si>
    <r>
      <rPr>
        <sz val="10"/>
        <rFont val="나눔고딕"/>
        <family val="2"/>
      </rPr>
      <t xml:space="preserve">실기기 데모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샌드박스 테스트</t>
    </r>
  </si>
  <si>
    <t xml:space="preserve">허용 폴더 목록 입력</t>
  </si>
  <si>
    <t xml:space="preserve">F1-303</t>
  </si>
  <si>
    <t xml:space="preserve">기기 정보 자동 수집</t>
  </si>
  <si>
    <r>
      <rPr>
        <sz val="10"/>
        <rFont val="Arial"/>
        <family val="0"/>
        <charset val="1"/>
      </rPr>
      <t xml:space="preserve">OS·CPU·RAM </t>
    </r>
    <r>
      <rPr>
        <sz val="10"/>
        <rFont val="나눔고딕"/>
        <family val="2"/>
      </rPr>
      <t xml:space="preserve">자동 수집</t>
    </r>
  </si>
  <si>
    <t xml:space="preserve">worker/agent/main.py collect_specs()</t>
  </si>
  <si>
    <r>
      <rPr>
        <sz val="10"/>
        <rFont val="나눔고딕"/>
        <family val="2"/>
      </rPr>
      <t xml:space="preserve">실기기 데모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사양 화면 표시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</si>
  <si>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psutil </t>
    </r>
    <r>
      <rPr>
        <sz val="10"/>
        <rFont val="나눔고딕"/>
        <family val="2"/>
      </rPr>
      <t xml:space="preserve">사용</t>
    </r>
  </si>
  <si>
    <t xml:space="preserve">F1-304</t>
  </si>
  <si>
    <t xml:space="preserve">기기 정보 수동 입력</t>
  </si>
  <si>
    <t xml:space="preserve">자동 수집 실패 시 수동 입력</t>
  </si>
  <si>
    <t xml:space="preserve">-</t>
  </si>
  <si>
    <r>
      <rPr>
        <sz val="10"/>
        <rFont val="나눔고딕"/>
        <family val="2"/>
      </rPr>
      <t xml:space="preserve">예외 흐름 </t>
    </r>
    <r>
      <rPr>
        <sz val="10"/>
        <rFont val="Arial"/>
        <family val="0"/>
        <charset val="1"/>
      </rPr>
      <t xml:space="preserve">e501, </t>
    </r>
    <r>
      <rPr>
        <sz val="10"/>
        <rFont val="나눔고딕"/>
        <family val="2"/>
      </rPr>
      <t xml:space="preserve">차기 단계 반영 예정</t>
    </r>
  </si>
  <si>
    <t xml:space="preserve">F1-305</t>
  </si>
  <si>
    <t xml:space="preserve">등록 가능 여부 검증</t>
  </si>
  <si>
    <r>
      <rPr>
        <sz val="10"/>
        <rFont val="나눔고딕"/>
        <family val="2"/>
      </rPr>
      <t xml:space="preserve">기기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권한 정보 기반 검증</t>
    </r>
  </si>
  <si>
    <t xml:space="preserve">server/app/routers/devices.py</t>
  </si>
  <si>
    <t xml:space="preserve">코드 검토</t>
  </si>
  <si>
    <r>
      <rPr>
        <sz val="10"/>
        <rFont val="나눔고딕"/>
        <family val="2"/>
      </rPr>
      <t xml:space="preserve">중복 검사만 수행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사양 기반 검증 없음</t>
    </r>
  </si>
  <si>
    <t xml:space="preserve">F1-306</t>
  </si>
  <si>
    <t xml:space="preserve">기기명 중복 검증</t>
  </si>
  <si>
    <t xml:space="preserve">동일 계정 내 기기명 중복 확인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</si>
  <si>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기기명 중복 거부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</si>
  <si>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409 </t>
    </r>
    <r>
      <rPr>
        <sz val="10"/>
        <rFont val="나눔고딕"/>
        <family val="2"/>
      </rPr>
      <t xml:space="preserve">응답 </t>
    </r>
    <r>
      <rPr>
        <sz val="10"/>
        <rFont val="Arial"/>
        <family val="0"/>
        <charset val="1"/>
      </rPr>
      <t xml:space="preserve">(e601)</t>
    </r>
  </si>
  <si>
    <t xml:space="preserve">F1-307</t>
  </si>
  <si>
    <t xml:space="preserve">기기 등록</t>
  </si>
  <si>
    <t xml:space="preserve">조건 충족 시 계정에 등록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</si>
  <si>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기기 등록</t>
    </r>
    <r>
      <rPr>
        <sz val="10"/>
        <rFont val="Arial"/>
        <family val="0"/>
        <charset val="1"/>
      </rPr>
      <t xml:space="preserve">'</t>
    </r>
  </si>
  <si>
    <r>
      <rPr>
        <sz val="10"/>
        <rFont val="나눔고딕"/>
        <family val="2"/>
      </rPr>
      <t xml:space="preserve">기기별 </t>
    </r>
    <r>
      <rPr>
        <sz val="10"/>
        <rFont val="Arial"/>
        <family val="0"/>
        <charset val="1"/>
      </rPr>
      <t xml:space="preserve">api_key </t>
    </r>
    <r>
      <rPr>
        <sz val="10"/>
        <rFont val="나눔고딕"/>
        <family val="2"/>
      </rPr>
      <t xml:space="preserve">발급</t>
    </r>
  </si>
  <si>
    <t xml:space="preserve">F1-308</t>
  </si>
  <si>
    <t xml:space="preserve">등록 결과 제공</t>
  </si>
  <si>
    <r>
      <rPr>
        <sz val="10"/>
        <rFont val="Arial"/>
        <family val="0"/>
        <charset val="1"/>
      </rPr>
      <t xml:space="preserve">API </t>
    </r>
    <r>
      <rPr>
        <sz val="10"/>
        <rFont val="나눔고딕"/>
        <family val="2"/>
      </rPr>
      <t xml:space="preserve">응답 </t>
    </r>
    <r>
      <rPr>
        <sz val="10"/>
        <rFont val="Arial"/>
        <family val="0"/>
        <charset val="1"/>
      </rPr>
      <t xml:space="preserve">+ CLI </t>
    </r>
    <r>
      <rPr>
        <sz val="10"/>
        <rFont val="나눔고딕"/>
        <family val="2"/>
      </rPr>
      <t xml:space="preserve">출력</t>
    </r>
  </si>
  <si>
    <r>
      <rPr>
        <sz val="10"/>
        <rFont val="Arial"/>
        <family val="0"/>
        <charset val="1"/>
      </rPr>
      <t xml:space="preserve">E2E + </t>
    </r>
    <r>
      <rPr>
        <sz val="10"/>
        <rFont val="나눔고딕"/>
        <family val="2"/>
      </rPr>
      <t xml:space="preserve">데모</t>
    </r>
  </si>
  <si>
    <t xml:space="preserve">F1-401</t>
  </si>
  <si>
    <r>
      <rPr>
        <sz val="10"/>
        <rFont val="Arial"/>
        <family val="0"/>
        <charset val="1"/>
      </rPr>
      <t xml:space="preserve">UC-104 </t>
    </r>
    <r>
      <rPr>
        <sz val="10"/>
        <rFont val="나눔고딕"/>
        <family val="2"/>
      </rPr>
      <t xml:space="preserve">기기 상태</t>
    </r>
  </si>
  <si>
    <t xml:space="preserve">기기 목록 조회</t>
  </si>
  <si>
    <t xml:space="preserve">등록 기기 목록 조회</t>
  </si>
  <si>
    <t xml:space="preserve">web/src/pages/DevicesPage.tsx</t>
  </si>
  <si>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초 주기 자동 갱신</t>
    </r>
  </si>
  <si>
    <t xml:space="preserve">F1-402</t>
  </si>
  <si>
    <t xml:space="preserve">기기 사양 제공</t>
  </si>
  <si>
    <r>
      <rPr>
        <sz val="10"/>
        <rFont val="나눔고딕"/>
        <family val="2"/>
      </rPr>
      <t xml:space="preserve">명칭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수집 정보 제공</t>
    </r>
  </si>
  <si>
    <t xml:space="preserve">F1-403</t>
  </si>
  <si>
    <t xml:space="preserve">연결 상태 제공</t>
  </si>
  <si>
    <t xml:space="preserve">기기 연결 상태 표시</t>
  </si>
  <si>
    <t xml:space="preserve">orchestrator.device_is_online()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</si>
  <si>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하트비트 후 </t>
    </r>
    <r>
      <rPr>
        <sz val="10"/>
        <rFont val="Arial"/>
        <family val="0"/>
        <charset val="1"/>
      </rPr>
      <t xml:space="preserve">online </t>
    </r>
    <r>
      <rPr>
        <sz val="10"/>
        <rFont val="나눔고딕"/>
        <family val="2"/>
      </rPr>
      <t xml:space="preserve">표시</t>
    </r>
    <r>
      <rPr>
        <sz val="10"/>
        <rFont val="Arial"/>
        <family val="0"/>
        <charset val="1"/>
      </rPr>
      <t xml:space="preserve">'</t>
    </r>
  </si>
  <si>
    <r>
      <rPr>
        <sz val="10"/>
        <rFont val="나눔고딕"/>
        <family val="2"/>
      </rPr>
      <t xml:space="preserve">하트비트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초 기준</t>
    </r>
  </si>
  <si>
    <t xml:space="preserve">F1-404</t>
  </si>
  <si>
    <t xml:space="preserve">활성화 상태 제공</t>
  </si>
  <si>
    <t xml:space="preserve">작업 실행 가능 상태 표시</t>
  </si>
  <si>
    <r>
      <rPr>
        <sz val="10"/>
        <rFont val="나눔고딕"/>
        <family val="2"/>
      </rPr>
      <t xml:space="preserve">온라인 여부로 통합 표시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작업 중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유휴 구분 없음</t>
    </r>
  </si>
  <si>
    <t xml:space="preserve">F1-405</t>
  </si>
  <si>
    <t xml:space="preserve">사용 가능 여부 제공</t>
  </si>
  <si>
    <t xml:space="preserve">작업 실행 가능 여부 표시</t>
  </si>
  <si>
    <r>
      <rPr>
        <sz val="10"/>
        <rFont val="나눔고딕"/>
        <family val="2"/>
      </rPr>
      <t xml:space="preserve">온라인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오프라인 배지</t>
    </r>
  </si>
  <si>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-6</t>
    </r>
  </si>
  <si>
    <r>
      <rPr>
        <sz val="10"/>
        <rFont val="나눔고딕"/>
        <family val="2"/>
      </rPr>
      <t xml:space="preserve">기기 이름 변경 </t>
    </r>
    <r>
      <rPr>
        <sz val="10"/>
        <rFont val="Arial"/>
        <family val="0"/>
        <charset val="1"/>
      </rPr>
      <t xml:space="preserve">UI</t>
    </r>
  </si>
  <si>
    <t xml:space="preserve">웹에서 기기 명칭 수정</t>
  </si>
  <si>
    <t xml:space="preserve">DevicesPage + PATCH /devices/:id</t>
  </si>
  <si>
    <t xml:space="preserve">라이브 검증</t>
  </si>
  <si>
    <r>
      <rPr>
        <sz val="10"/>
        <rFont val="나눔고딕"/>
        <family val="2"/>
      </rPr>
      <t xml:space="preserve">인터페이스 요구 </t>
    </r>
    <r>
      <rPr>
        <sz val="10"/>
        <rFont val="Arial"/>
        <family val="0"/>
        <charset val="1"/>
      </rPr>
      <t xml:space="preserve">2). </t>
    </r>
    <r>
      <rPr>
        <sz val="10"/>
        <rFont val="나눔고딕"/>
        <family val="2"/>
      </rPr>
      <t xml:space="preserve">이름 중복 검사 포함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수정 이벤트 기록</t>
    </r>
  </si>
  <si>
    <t xml:space="preserve">F2-101</t>
  </si>
  <si>
    <r>
      <rPr>
        <sz val="10"/>
        <rFont val="Arial"/>
        <family val="0"/>
        <charset val="1"/>
      </rPr>
      <t xml:space="preserve">UC-201 </t>
    </r>
    <r>
      <rPr>
        <sz val="10"/>
        <rFont val="나눔고딕"/>
        <family val="2"/>
      </rPr>
      <t xml:space="preserve">서비스 생성</t>
    </r>
  </si>
  <si>
    <t xml:space="preserve">생성 화면 제공</t>
  </si>
  <si>
    <t xml:space="preserve">프롬프트 입력 양식 제공</t>
  </si>
  <si>
    <t xml:space="preserve">web/src/pages/ServicesPage.tsx</t>
  </si>
  <si>
    <t xml:space="preserve">F2-102</t>
  </si>
  <si>
    <t xml:space="preserve">생성 프롬프트 입력</t>
  </si>
  <si>
    <t xml:space="preserve">자연어 프롬프트 입력</t>
  </si>
  <si>
    <r>
      <rPr>
        <sz val="10"/>
        <rFont val="나눔고딕"/>
        <family val="2"/>
      </rPr>
      <t xml:space="preserve">실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데모</t>
    </r>
  </si>
  <si>
    <t xml:space="preserve">F2-103</t>
  </si>
  <si>
    <t xml:space="preserve">프롬프트 유효성 검증</t>
  </si>
  <si>
    <r>
      <rPr>
        <sz val="10"/>
        <rFont val="나눔고딕"/>
        <family val="2"/>
      </rPr>
      <t xml:space="preserve">빈 값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형식 검증</t>
    </r>
  </si>
  <si>
    <r>
      <rPr>
        <sz val="10"/>
        <rFont val="Arial"/>
        <family val="0"/>
        <charset val="1"/>
      </rPr>
      <t xml:space="preserve">server/app/schemas.py (</t>
    </r>
    <r>
      <rPr>
        <sz val="10"/>
        <rFont val="나눔고딕"/>
        <family val="2"/>
      </rPr>
      <t xml:space="preserve">최소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</si>
  <si>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422 </t>
    </r>
    <r>
      <rPr>
        <sz val="10"/>
        <rFont val="나눔고딕"/>
        <family val="2"/>
      </rPr>
      <t xml:space="preserve">응답</t>
    </r>
  </si>
  <si>
    <t xml:space="preserve">F2-104</t>
  </si>
  <si>
    <r>
      <rPr>
        <sz val="10"/>
        <rFont val="나눔고딕"/>
        <family val="2"/>
      </rPr>
      <t xml:space="preserve">무효 시 오류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재입력 요청</t>
    </r>
  </si>
  <si>
    <t xml:space="preserve">web + API detail</t>
  </si>
  <si>
    <t xml:space="preserve">F2-105</t>
  </si>
  <si>
    <t xml:space="preserve">서비스 구성 생성</t>
  </si>
  <si>
    <r>
      <rPr>
        <sz val="10"/>
        <rFont val="나눔고딕"/>
        <family val="2"/>
      </rPr>
      <t xml:space="preserve">프롬프트 해석→에이전트</t>
    </r>
    <r>
      <rPr>
        <sz val="10"/>
        <rFont val="Arial"/>
        <family val="0"/>
        <charset val="1"/>
      </rPr>
      <t xml:space="preserve">·DAG </t>
    </r>
    <r>
      <rPr>
        <sz val="10"/>
        <rFont val="나눔고딕"/>
        <family val="2"/>
      </rPr>
      <t xml:space="preserve">생성</t>
    </r>
  </si>
  <si>
    <t xml:space="preserve">server/app/services/generator.py</t>
  </si>
  <si>
    <r>
      <rPr>
        <sz val="10"/>
        <rFont val="나눔고딕"/>
        <family val="2"/>
      </rPr>
      <t xml:space="preserve">실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데모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병렬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노드 생성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</si>
  <si>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Ollama LLM + </t>
    </r>
    <r>
      <rPr>
        <sz val="10"/>
        <rFont val="나눔고딕"/>
        <family val="2"/>
      </rPr>
      <t xml:space="preserve">규칙 기반 폴백 이중화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무효 구성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순환 등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시 자동 재시도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설계 프롬프트에 피드백 루프 금지 규칙</t>
    </r>
  </si>
  <si>
    <t xml:space="preserve">F2-106</t>
  </si>
  <si>
    <t xml:space="preserve">워크플로우 시각화</t>
  </si>
  <si>
    <t xml:space="preserve">생성 구성 시각적 제공</t>
  </si>
  <si>
    <t xml:space="preserve">web ServiceDetailPage (React Flow)</t>
  </si>
  <si>
    <t xml:space="preserve">블록코딩식 캔버스</t>
  </si>
  <si>
    <t xml:space="preserve">F2-107</t>
  </si>
  <si>
    <t xml:space="preserve">생성 실패 사유 제공</t>
  </si>
  <si>
    <t xml:space="preserve">실패 시 사유 제공</t>
  </si>
  <si>
    <t xml:space="preserve">server 422 detail</t>
  </si>
  <si>
    <r>
      <rPr>
        <sz val="10"/>
        <rFont val="나눔고딕"/>
        <family val="2"/>
      </rPr>
      <t xml:space="preserve">재시도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폴백 도입 후에는 생성 실패 자체가 사용자에게 노출되지 않음</t>
    </r>
  </si>
  <si>
    <t xml:space="preserve">F2-201</t>
  </si>
  <si>
    <r>
      <rPr>
        <sz val="10"/>
        <rFont val="Arial"/>
        <family val="0"/>
        <charset val="1"/>
      </rPr>
      <t xml:space="preserve">UC-202 </t>
    </r>
    <r>
      <rPr>
        <sz val="10"/>
        <rFont val="나눔고딕"/>
        <family val="2"/>
      </rPr>
      <t xml:space="preserve">서비스 수정</t>
    </r>
  </si>
  <si>
    <t xml:space="preserve">수정 요청</t>
  </si>
  <si>
    <t xml:space="preserve">서비스 구성 수정 요청</t>
  </si>
  <si>
    <t xml:space="preserve">web/src/pages/ServiceDetailPage.tsx</t>
  </si>
  <si>
    <t xml:space="preserve">화면 조작 확인</t>
  </si>
  <si>
    <t xml:space="preserve">F2-202</t>
  </si>
  <si>
    <t xml:space="preserve">워크플로우 제공</t>
  </si>
  <si>
    <t xml:space="preserve">수정용 시각적 워크플로우</t>
  </si>
  <si>
    <r>
      <rPr>
        <sz val="10"/>
        <rFont val="Arial"/>
        <family val="0"/>
        <charset val="1"/>
      </rPr>
      <t xml:space="preserve">React Flow </t>
    </r>
    <r>
      <rPr>
        <sz val="10"/>
        <rFont val="나눔고딕"/>
        <family val="2"/>
      </rPr>
      <t xml:space="preserve">캔버스</t>
    </r>
  </si>
  <si>
    <t xml:space="preserve">F2-203</t>
  </si>
  <si>
    <t xml:space="preserve">구성 요소 편집</t>
  </si>
  <si>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삭제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연결 변경</t>
    </r>
  </si>
  <si>
    <r>
      <rPr>
        <sz val="10"/>
        <rFont val="나눔고딕"/>
        <family val="2"/>
      </rPr>
      <t xml:space="preserve">블록 팔레트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연결선 삭제 버튼</t>
    </r>
  </si>
  <si>
    <r>
      <rPr>
        <sz val="10"/>
        <rFont val="나눔고딕"/>
        <family val="2"/>
      </rPr>
      <t xml:space="preserve">드래그 추가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연결선 </t>
    </r>
    <r>
      <rPr>
        <sz val="10"/>
        <rFont val="Arial"/>
        <family val="0"/>
        <charset val="1"/>
      </rPr>
      <t xml:space="preserve">× </t>
    </r>
    <r>
      <rPr>
        <sz val="10"/>
        <rFont val="나눔고딕"/>
        <family val="2"/>
      </rPr>
      <t xml:space="preserve">버튼</t>
    </r>
  </si>
  <si>
    <t xml:space="preserve">F2-204</t>
  </si>
  <si>
    <t xml:space="preserve">에이전트 프롬프트 설정</t>
  </si>
  <si>
    <t xml:space="preserve">에이전트별 프롬프트 설정</t>
  </si>
  <si>
    <t xml:space="preserve">블록 설정 패널</t>
  </si>
  <si>
    <t xml:space="preserve">F2-205</t>
  </si>
  <si>
    <t xml:space="preserve">에이전트 접근 권한 설정</t>
  </si>
  <si>
    <t xml:space="preserve">에이전트별 폴더 범위 설정</t>
  </si>
  <si>
    <t xml:space="preserve">비우면 기기 기본값 사용</t>
  </si>
  <si>
    <t xml:space="preserve">F2-206</t>
  </si>
  <si>
    <t xml:space="preserve">수정 구성 유효성 검증</t>
  </si>
  <si>
    <t xml:space="preserve">실행 가능성 검증</t>
  </si>
  <si>
    <t xml:space="preserve">server/app/services/dag.py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</si>
  <si>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순환 </t>
    </r>
    <r>
      <rPr>
        <sz val="10"/>
        <rFont val="Arial"/>
        <family val="0"/>
        <charset val="1"/>
      </rPr>
      <t xml:space="preserve">DAG </t>
    </r>
    <r>
      <rPr>
        <sz val="10"/>
        <rFont val="나눔고딕"/>
        <family val="2"/>
      </rPr>
      <t xml:space="preserve">차단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</si>
  <si>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Kahn </t>
    </r>
    <r>
      <rPr>
        <sz val="10"/>
        <rFont val="나눔고딕"/>
        <family val="2"/>
      </rPr>
      <t xml:space="preserve">위상정렬로 순환 차단</t>
    </r>
  </si>
  <si>
    <t xml:space="preserve">F2-207</t>
  </si>
  <si>
    <t xml:space="preserve">갱신 워크플로우 제공</t>
  </si>
  <si>
    <t xml:space="preserve">수정 반영 결과 제공</t>
  </si>
  <si>
    <t xml:space="preserve">저장 후 캔버스 갱신</t>
  </si>
  <si>
    <t xml:space="preserve">F2-208</t>
  </si>
  <si>
    <t xml:space="preserve">수정 내용 확인</t>
  </si>
  <si>
    <t xml:space="preserve">사용자 확인 제공</t>
  </si>
  <si>
    <t xml:space="preserve">저장 성공 메시지</t>
  </si>
  <si>
    <t xml:space="preserve">F2-209</t>
  </si>
  <si>
    <t xml:space="preserve">수정 오류 사유 제공</t>
  </si>
  <si>
    <t xml:space="preserve">실행 불가 구성 시 사유</t>
  </si>
  <si>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-1</t>
    </r>
  </si>
  <si>
    <r>
      <rPr>
        <sz val="10"/>
        <rFont val="나눔고딕"/>
        <family val="2"/>
      </rPr>
      <t xml:space="preserve">자연어 </t>
    </r>
    <r>
      <rPr>
        <sz val="10"/>
        <rFont val="Arial"/>
        <family val="0"/>
        <charset val="1"/>
      </rPr>
      <t xml:space="preserve">AI </t>
    </r>
    <r>
      <rPr>
        <sz val="10"/>
        <rFont val="나눔고딕"/>
        <family val="2"/>
      </rPr>
      <t xml:space="preserve">수정</t>
    </r>
  </si>
  <si>
    <t xml:space="preserve">말로 지시해 그래프 수정</t>
  </si>
  <si>
    <t xml:space="preserve">POST /services/:id/revise</t>
  </si>
  <si>
    <r>
      <rPr>
        <sz val="10"/>
        <rFont val="나눔고딕"/>
        <family val="2"/>
      </rPr>
      <t xml:space="preserve">실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검증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에이전트 추가 지시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</si>
  <si>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요구사항 외 추가 구현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제안만 표시 후 사용자 확정</t>
    </r>
  </si>
  <si>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-2</t>
    </r>
  </si>
  <si>
    <r>
      <rPr>
        <sz val="10"/>
        <rFont val="나눔고딕"/>
        <family val="2"/>
      </rPr>
      <t xml:space="preserve">되돌리기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다시 실행</t>
    </r>
  </si>
  <si>
    <t xml:space="preserve">편집 실수 복구</t>
  </si>
  <si>
    <r>
      <rPr>
        <sz val="10"/>
        <rFont val="Arial"/>
        <family val="0"/>
        <charset val="1"/>
      </rPr>
      <t xml:space="preserve">ServiceDetailPage (50</t>
    </r>
    <r>
      <rPr>
        <sz val="10"/>
        <rFont val="나눔고딕"/>
        <family val="2"/>
      </rPr>
      <t xml:space="preserve">단계 히스토리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</si>
  <si>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요구사항 외 추가 구현</t>
    </r>
    <r>
      <rPr>
        <sz val="10"/>
        <rFont val="Arial"/>
        <family val="0"/>
        <charset val="1"/>
      </rPr>
      <t xml:space="preserve">, Cmd+Z </t>
    </r>
    <r>
      <rPr>
        <sz val="10"/>
        <rFont val="나눔고딕"/>
        <family val="2"/>
      </rPr>
      <t xml:space="preserve">지원</t>
    </r>
  </si>
  <si>
    <t xml:space="preserve">F2-301</t>
  </si>
  <si>
    <r>
      <rPr>
        <sz val="10"/>
        <rFont val="Arial"/>
        <family val="0"/>
        <charset val="1"/>
      </rPr>
      <t xml:space="preserve">UC-203 </t>
    </r>
    <r>
      <rPr>
        <sz val="10"/>
        <rFont val="나눔고딕"/>
        <family val="2"/>
      </rPr>
      <t xml:space="preserve">실행 프롬프트</t>
    </r>
  </si>
  <si>
    <t xml:space="preserve">실행 프롬프트 양식 제공</t>
  </si>
  <si>
    <t xml:space="preserve">실행 프롬프트 입력 양식</t>
  </si>
  <si>
    <r>
      <rPr>
        <sz val="10"/>
        <rFont val="Arial"/>
        <family val="0"/>
        <charset val="1"/>
      </rPr>
      <t xml:space="preserve">ServiceDetailPage </t>
    </r>
    <r>
      <rPr>
        <sz val="10"/>
        <rFont val="나눔고딕"/>
        <family val="2"/>
      </rPr>
      <t xml:space="preserve">실행 패널</t>
    </r>
  </si>
  <si>
    <t xml:space="preserve">F2-302</t>
  </si>
  <si>
    <t xml:space="preserve">실행 프롬프트 입력</t>
  </si>
  <si>
    <t xml:space="preserve">양식에 맞게 입력</t>
  </si>
  <si>
    <t xml:space="preserve">F2-303</t>
  </si>
  <si>
    <t xml:space="preserve">유효성 검증</t>
  </si>
  <si>
    <t xml:space="preserve">실행 프롬프트 검증</t>
  </si>
  <si>
    <r>
      <rPr>
        <sz val="10"/>
        <rFont val="Arial"/>
        <family val="0"/>
        <charset val="1"/>
      </rPr>
      <t xml:space="preserve">server (</t>
    </r>
    <r>
      <rPr>
        <sz val="10"/>
        <rFont val="나눔고딕"/>
        <family val="2"/>
      </rPr>
      <t xml:space="preserve">빈 값 </t>
    </r>
    <r>
      <rPr>
        <sz val="10"/>
        <rFont val="Arial"/>
        <family val="0"/>
        <charset val="1"/>
      </rPr>
      <t xml:space="preserve">422)</t>
    </r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</si>
  <si>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빈 실행 프롬프트 거부</t>
    </r>
    <r>
      <rPr>
        <sz val="10"/>
        <rFont val="Arial"/>
        <family val="0"/>
        <charset val="1"/>
      </rPr>
      <t xml:space="preserve">'</t>
    </r>
  </si>
  <si>
    <t xml:space="preserve">F2-304</t>
  </si>
  <si>
    <t xml:space="preserve">검증 결과 제공</t>
  </si>
  <si>
    <t xml:space="preserve">검증 결과 사용자 제공</t>
  </si>
  <si>
    <t xml:space="preserve">오류 시 메시지 표시</t>
  </si>
  <si>
    <r>
      <rPr>
        <sz val="10"/>
        <rFont val="나눔고딕"/>
        <family val="2"/>
      </rPr>
      <t xml:space="preserve">실패 시 오류만 표시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성공 확인 단계 없음</t>
    </r>
  </si>
  <si>
    <t xml:space="preserve">F2-305</t>
  </si>
  <si>
    <t xml:space="preserve">무효 시 재입력 요청</t>
  </si>
  <si>
    <r>
      <rPr>
        <sz val="10"/>
        <rFont val="Arial"/>
        <family val="0"/>
        <charset val="1"/>
      </rPr>
      <t xml:space="preserve">web error </t>
    </r>
    <r>
      <rPr>
        <sz val="10"/>
        <rFont val="나눔고딕"/>
        <family val="2"/>
      </rPr>
      <t xml:space="preserve">표시</t>
    </r>
  </si>
  <si>
    <t xml:space="preserve">F2-306</t>
  </si>
  <si>
    <t xml:space="preserve">실행 요청</t>
  </si>
  <si>
    <t xml:space="preserve">입력 후 실행 요청</t>
  </si>
  <si>
    <r>
      <rPr>
        <sz val="10"/>
        <rFont val="나눔고딕"/>
        <family val="2"/>
      </rPr>
      <t xml:space="preserve">실행 버튼 → </t>
    </r>
    <r>
      <rPr>
        <sz val="10"/>
        <rFont val="Arial"/>
        <family val="0"/>
        <charset val="1"/>
      </rPr>
      <t xml:space="preserve">POST executions</t>
    </r>
  </si>
  <si>
    <t xml:space="preserve">F2-401</t>
  </si>
  <si>
    <r>
      <rPr>
        <sz val="10"/>
        <rFont val="Arial"/>
        <family val="0"/>
        <charset val="1"/>
      </rPr>
      <t xml:space="preserve">UC-204 </t>
    </r>
    <r>
      <rPr>
        <sz val="10"/>
        <rFont val="나눔고딕"/>
        <family val="2"/>
      </rPr>
      <t xml:space="preserve">서비스 실행</t>
    </r>
  </si>
  <si>
    <t xml:space="preserve">실행 요청 처리</t>
  </si>
  <si>
    <t xml:space="preserve">생성 서비스 실행 요청</t>
  </si>
  <si>
    <t xml:space="preserve">server/app/routers/executions.py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</si>
  <si>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서비스 실행 시작</t>
    </r>
    <r>
      <rPr>
        <sz val="10"/>
        <rFont val="Arial"/>
        <family val="0"/>
        <charset val="1"/>
      </rPr>
      <t xml:space="preserve">'</t>
    </r>
  </si>
  <si>
    <t xml:space="preserve">F2-402</t>
  </si>
  <si>
    <t xml:space="preserve">등록 기기 활용 실행</t>
  </si>
  <si>
    <r>
      <rPr>
        <sz val="10"/>
        <rFont val="나눔고딕"/>
        <family val="2"/>
      </rPr>
      <t xml:space="preserve">등록 기기에 분배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실행</t>
    </r>
  </si>
  <si>
    <r>
      <rPr>
        <sz val="10"/>
        <rFont val="Arial"/>
        <family val="0"/>
        <charset val="1"/>
      </rPr>
      <t xml:space="preserve">orchestrator + worker (Pull </t>
    </r>
    <r>
      <rPr>
        <sz val="10"/>
        <rFont val="나눔고딕"/>
        <family val="2"/>
      </rPr>
      <t xml:space="preserve">폴링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</si>
  <si>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실기기 데모 </t>
    </r>
    <r>
      <rPr>
        <sz val="10"/>
        <rFont val="Arial"/>
        <family val="0"/>
        <charset val="1"/>
      </rPr>
      <t xml:space="preserve">+ E2E </t>
    </r>
    <r>
      <rPr>
        <sz val="10"/>
        <rFont val="나눔고딕"/>
        <family val="2"/>
      </rPr>
      <t xml:space="preserve">전 노드 처리</t>
    </r>
  </si>
  <si>
    <r>
      <rPr>
        <sz val="10"/>
        <rFont val="Arial"/>
        <family val="0"/>
        <charset val="1"/>
      </rPr>
      <t xml:space="preserve">NAT </t>
    </r>
    <r>
      <rPr>
        <sz val="10"/>
        <rFont val="나눔고딕"/>
        <family val="2"/>
      </rPr>
      <t xml:space="preserve">대응 </t>
    </r>
    <r>
      <rPr>
        <sz val="10"/>
        <rFont val="Arial"/>
        <family val="0"/>
        <charset val="1"/>
      </rPr>
      <t xml:space="preserve">Pull </t>
    </r>
    <r>
      <rPr>
        <sz val="10"/>
        <rFont val="나눔고딕"/>
        <family val="2"/>
      </rPr>
      <t xml:space="preserve">방식</t>
    </r>
  </si>
  <si>
    <t xml:space="preserve">F2-403</t>
  </si>
  <si>
    <t xml:space="preserve">실행 상태 제공</t>
  </si>
  <si>
    <t xml:space="preserve">실행 상태 표시</t>
  </si>
  <si>
    <t xml:space="preserve">web/src/pages/ExecutionPage.tsx</t>
  </si>
  <si>
    <r>
      <rPr>
        <sz val="10"/>
        <rFont val="나눔고딕"/>
        <family val="2"/>
      </rPr>
      <t xml:space="preserve">화면 확인 </t>
    </r>
    <r>
      <rPr>
        <sz val="10"/>
        <rFont val="Arial"/>
        <family val="0"/>
        <charset val="1"/>
      </rPr>
      <t xml:space="preserve">(3</t>
    </r>
    <r>
      <rPr>
        <sz val="10"/>
        <rFont val="나눔고딕"/>
        <family val="2"/>
      </rPr>
      <t xml:space="preserve">초 폴링</t>
    </r>
    <r>
      <rPr>
        <sz val="10"/>
        <rFont val="Arial"/>
        <family val="0"/>
        <charset val="1"/>
      </rPr>
      <t xml:space="preserve">)</t>
    </r>
  </si>
  <si>
    <t xml:space="preserve">F2-404</t>
  </si>
  <si>
    <t xml:space="preserve">전체 진행률 표시</t>
  </si>
  <si>
    <t xml:space="preserve">백분율 진행률 제공</t>
  </si>
  <si>
    <t xml:space="preserve">orchestrator.execution_progress()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</si>
  <si>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진행률 </t>
    </r>
    <r>
      <rPr>
        <sz val="10"/>
        <rFont val="Arial"/>
        <family val="0"/>
        <charset val="1"/>
      </rPr>
      <t xml:space="preserve">100%'</t>
    </r>
  </si>
  <si>
    <t xml:space="preserve">진행바 표시</t>
  </si>
  <si>
    <t xml:space="preserve">F2-405</t>
  </si>
  <si>
    <t xml:space="preserve">작업 진행 현황 표시</t>
  </si>
  <si>
    <r>
      <rPr>
        <sz val="10"/>
        <rFont val="나눔고딕"/>
        <family val="2"/>
      </rPr>
      <t xml:space="preserve">대기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실행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완료 현황</t>
    </r>
  </si>
  <si>
    <r>
      <rPr>
        <sz val="10"/>
        <rFont val="Arial"/>
        <family val="0"/>
        <charset val="1"/>
      </rPr>
      <t xml:space="preserve">ExecutionPage </t>
    </r>
    <r>
      <rPr>
        <sz val="10"/>
        <rFont val="나눔고딕"/>
        <family val="2"/>
      </rPr>
      <t xml:space="preserve">작업 현황 표</t>
    </r>
  </si>
  <si>
    <r>
      <rPr>
        <sz val="10"/>
        <rFont val="나눔고딕"/>
        <family val="2"/>
      </rPr>
      <t xml:space="preserve">화면 확인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중간 진행 캡처</t>
    </r>
    <r>
      <rPr>
        <sz val="10"/>
        <rFont val="Arial"/>
        <family val="0"/>
        <charset val="1"/>
      </rPr>
      <t xml:space="preserve">)</t>
    </r>
  </si>
  <si>
    <t xml:space="preserve">F2-406</t>
  </si>
  <si>
    <t xml:space="preserve">기기 상태 표시</t>
  </si>
  <si>
    <t xml:space="preserve">기기 상태 정보 제공</t>
  </si>
  <si>
    <t xml:space="preserve">작업별 할당 기기 표시</t>
  </si>
  <si>
    <r>
      <rPr>
        <sz val="10"/>
        <rFont val="나눔고딕"/>
        <family val="2"/>
      </rPr>
      <t xml:space="preserve">실행 화면엔 기기 </t>
    </r>
    <r>
      <rPr>
        <sz val="10"/>
        <rFont val="Arial"/>
        <family val="0"/>
        <charset val="1"/>
      </rPr>
      <t xml:space="preserve">ID</t>
    </r>
    <r>
      <rPr>
        <sz val="10"/>
        <rFont val="나눔고딕"/>
        <family val="2"/>
      </rPr>
      <t xml:space="preserve">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상세는 기기 관리 화면</t>
    </r>
  </si>
  <si>
    <t xml:space="preserve">F2-407</t>
  </si>
  <si>
    <t xml:space="preserve">서비스 중단</t>
  </si>
  <si>
    <r>
      <rPr>
        <sz val="10"/>
        <rFont val="나눔고딕"/>
        <family val="2"/>
      </rPr>
      <t xml:space="preserve">중단 요청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처리</t>
    </r>
  </si>
  <si>
    <r>
      <rPr>
        <sz val="10"/>
        <rFont val="Arial"/>
        <family val="0"/>
        <charset val="1"/>
      </rPr>
      <t xml:space="preserve">cancel API + </t>
    </r>
    <r>
      <rPr>
        <sz val="10"/>
        <rFont val="나눔고딕"/>
        <family val="2"/>
      </rPr>
      <t xml:space="preserve">워커 중단 감시 스레드</t>
    </r>
  </si>
  <si>
    <r>
      <rPr>
        <sz val="10"/>
        <rFont val="나눔고딕"/>
        <family val="2"/>
      </rPr>
      <t xml:space="preserve">실측 — 중단 요청 후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초 내 워커가 작업 포기</t>
    </r>
  </si>
  <si>
    <r>
      <rPr>
        <sz val="10"/>
        <rFont val="나눔고딕"/>
        <family val="2"/>
      </rPr>
      <t xml:space="preserve">워커가 작업 상태를 주기 확인해 중단 시 결과 폐기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진행 중 추론 자체는 강제 종료 불가하나 워커는 즉시 가용 상태로 복귀</t>
    </r>
  </si>
  <si>
    <t xml:space="preserve">F2-408</t>
  </si>
  <si>
    <t xml:space="preserve">작업 재분배</t>
  </si>
  <si>
    <t xml:space="preserve">전달 실패 시 다른 기기로</t>
  </si>
  <si>
    <r>
      <rPr>
        <sz val="10"/>
        <rFont val="Arial"/>
        <family val="0"/>
        <charset val="1"/>
      </rPr>
      <t xml:space="preserve">Pull </t>
    </r>
    <r>
      <rPr>
        <sz val="10"/>
        <rFont val="나눔고딕"/>
        <family val="2"/>
      </rPr>
      <t xml:space="preserve">구조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미할당 작업 자동 재분배</t>
    </r>
    <r>
      <rPr>
        <sz val="10"/>
        <rFont val="Arial"/>
        <family val="0"/>
        <charset val="1"/>
      </rPr>
      <t xml:space="preserve">)</t>
    </r>
  </si>
  <si>
    <t xml:space="preserve">구조 검증</t>
  </si>
  <si>
    <t xml:space="preserve">e201</t>
  </si>
  <si>
    <t xml:space="preserve">F2-409</t>
  </si>
  <si>
    <t xml:space="preserve">실행 실패 알림</t>
  </si>
  <si>
    <t xml:space="preserve">오류 정보 제공</t>
  </si>
  <si>
    <r>
      <rPr>
        <sz val="10"/>
        <rFont val="Arial"/>
        <family val="0"/>
        <charset val="1"/>
      </rPr>
      <t xml:space="preserve">complete_task </t>
    </r>
    <r>
      <rPr>
        <sz val="10"/>
        <rFont val="나눔고딕"/>
        <family val="2"/>
      </rPr>
      <t xml:space="preserve">실패 처리</t>
    </r>
  </si>
  <si>
    <r>
      <rPr>
        <sz val="10"/>
        <rFont val="나눔고딕"/>
        <family val="2"/>
      </rPr>
      <t xml:space="preserve">코드 검토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화면 오류 카드</t>
    </r>
  </si>
  <si>
    <r>
      <rPr>
        <sz val="10"/>
        <rFont val="Arial"/>
        <family val="0"/>
        <charset val="1"/>
      </rPr>
      <t xml:space="preserve">e202: </t>
    </r>
    <r>
      <rPr>
        <sz val="10"/>
        <rFont val="나눔고딕"/>
        <family val="2"/>
      </rPr>
      <t xml:space="preserve">실패 시 사유 표시</t>
    </r>
  </si>
  <si>
    <t xml:space="preserve">F2-410</t>
  </si>
  <si>
    <t xml:space="preserve">기기 단절 시 재할당</t>
  </si>
  <si>
    <t xml:space="preserve">연결 끊긴 기기 작업 재할당</t>
  </si>
  <si>
    <t xml:space="preserve">orchestrator.reclaim_stale_tasks()</t>
  </si>
  <si>
    <r>
      <rPr>
        <sz val="10"/>
        <rFont val="나눔고딕"/>
        <family val="2"/>
      </rPr>
      <t xml:space="preserve">코드 검토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동시성 테스트</t>
    </r>
  </si>
  <si>
    <r>
      <rPr>
        <sz val="10"/>
        <rFont val="Arial"/>
        <family val="0"/>
        <charset val="1"/>
      </rPr>
      <t xml:space="preserve">e203: </t>
    </r>
    <r>
      <rPr>
        <sz val="10"/>
        <rFont val="나눔고딕"/>
        <family val="2"/>
      </rPr>
      <t xml:space="preserve">하트비트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초 타임아웃</t>
    </r>
  </si>
  <si>
    <t xml:space="preserve">F2-411</t>
  </si>
  <si>
    <t xml:space="preserve">결과 수집 실패 알림</t>
  </si>
  <si>
    <t xml:space="preserve">수집 실패 시 오류 메시지</t>
  </si>
  <si>
    <t xml:space="preserve">작업 실패로 통합 처리</t>
  </si>
  <si>
    <r>
      <rPr>
        <sz val="10"/>
        <rFont val="Arial"/>
        <family val="0"/>
        <charset val="1"/>
      </rPr>
      <t xml:space="preserve">e204: </t>
    </r>
    <r>
      <rPr>
        <sz val="10"/>
        <rFont val="나눔고딕"/>
        <family val="2"/>
      </rPr>
      <t xml:space="preserve">별도 구분 없이 실패 처리에 포함</t>
    </r>
  </si>
  <si>
    <t xml:space="preserve">F2-412</t>
  </si>
  <si>
    <t xml:space="preserve">실행 전 기기 확인</t>
  </si>
  <si>
    <t xml:space="preserve">가용 기기 상태 확인</t>
  </si>
  <si>
    <r>
      <rPr>
        <sz val="10"/>
        <rFont val="Arial"/>
        <family val="0"/>
        <charset val="1"/>
      </rPr>
      <t xml:space="preserve">executions.py (</t>
    </r>
    <r>
      <rPr>
        <sz val="10"/>
        <rFont val="나눔고딕"/>
        <family val="2"/>
      </rPr>
      <t xml:space="preserve">온라인 기기 없으면 </t>
    </r>
    <r>
      <rPr>
        <sz val="10"/>
        <rFont val="Arial"/>
        <family val="0"/>
        <charset val="1"/>
      </rPr>
      <t xml:space="preserve">409)</t>
    </r>
  </si>
  <si>
    <r>
      <rPr>
        <sz val="10"/>
        <rFont val="나눔고딕"/>
        <family val="2"/>
      </rPr>
      <t xml:space="preserve">데모 중 실제 발생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확인</t>
    </r>
  </si>
  <si>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-4</t>
    </r>
  </si>
  <si>
    <t xml:space="preserve">작업 관련 파일 선별</t>
  </si>
  <si>
    <t xml:space="preserve">허용 폴더 중 작업과 관련된 파일만 컨텍스트에 포함</t>
  </si>
  <si>
    <t xml:space="preserve">worker/agent/executor.py</t>
  </si>
  <si>
    <r>
      <rPr>
        <sz val="10"/>
        <rFont val="나눔고딕"/>
        <family val="2"/>
      </rPr>
      <t xml:space="preserve">실측 — 이력서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여행메모 혼재 폴더에서 자소서 생성 시 여행 표현 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</rPr>
      <t xml:space="preserve">종 불검출</t>
    </r>
    <r>
      <rPr>
        <sz val="10"/>
        <rFont val="Arial"/>
        <family val="0"/>
        <charset val="1"/>
      </rPr>
      <t xml:space="preserve">, 4</t>
    </r>
    <r>
      <rPr>
        <sz val="10"/>
        <rFont val="나눔고딕"/>
        <family val="2"/>
      </rPr>
      <t xml:space="preserve">개 에이전트 전부 이력서만 선택</t>
    </r>
  </si>
  <si>
    <r>
      <rPr>
        <sz val="10"/>
        <rFont val="나눔고딕"/>
        <family val="2"/>
      </rPr>
      <t xml:space="preserve">요구사항 외 추가 구현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무관한 개인 파일이 결과물에 섞이는 컨텍스트 오염 방지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선별도 로컬 </t>
    </r>
    <r>
      <rPr>
        <sz val="10"/>
        <rFont val="Arial"/>
        <family val="0"/>
        <charset val="1"/>
      </rPr>
      <t xml:space="preserve">LLM</t>
    </r>
    <r>
      <rPr>
        <sz val="10"/>
        <rFont val="나눔고딕"/>
        <family val="2"/>
      </rPr>
      <t xml:space="preserve">으로 수행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프라이버시 유지</t>
    </r>
    <r>
      <rPr>
        <sz val="10"/>
        <rFont val="Arial"/>
        <family val="0"/>
        <charset val="1"/>
      </rPr>
      <t xml:space="preserve">)</t>
    </r>
  </si>
  <si>
    <t xml:space="preserve">F2-501</t>
  </si>
  <si>
    <r>
      <rPr>
        <sz val="10"/>
        <rFont val="Arial"/>
        <family val="0"/>
        <charset val="1"/>
      </rPr>
      <t xml:space="preserve">UC-205 </t>
    </r>
    <r>
      <rPr>
        <sz val="10"/>
        <rFont val="나눔고딕"/>
        <family val="2"/>
      </rPr>
      <t xml:space="preserve">결과 확인</t>
    </r>
  </si>
  <si>
    <t xml:space="preserve">완료 알림 제공</t>
  </si>
  <si>
    <t xml:space="preserve">실행 완료 여부 제공</t>
  </si>
  <si>
    <r>
      <rPr>
        <sz val="10"/>
        <rFont val="나눔고딕"/>
        <family val="2"/>
      </rPr>
      <t xml:space="preserve">상태 배지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완료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실패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중단</t>
    </r>
    <r>
      <rPr>
        <sz val="10"/>
        <rFont val="Arial"/>
        <family val="0"/>
        <charset val="1"/>
      </rPr>
      <t xml:space="preserve">)</t>
    </r>
  </si>
  <si>
    <t xml:space="preserve">F2-502</t>
  </si>
  <si>
    <t xml:space="preserve">실행 결과 수집</t>
  </si>
  <si>
    <t xml:space="preserve">기기 결과 수집</t>
  </si>
  <si>
    <r>
      <rPr>
        <sz val="10"/>
        <rFont val="Arial"/>
        <family val="0"/>
        <charset val="1"/>
      </rPr>
      <t xml:space="preserve">worker </t>
    </r>
    <r>
      <rPr>
        <sz val="10"/>
        <rFont val="나눔고딕"/>
        <family val="2"/>
      </rPr>
      <t xml:space="preserve">결과 제출 → 서버 저장</t>
    </r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</si>
  <si>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결과 제출</t>
    </r>
    <r>
      <rPr>
        <sz val="10"/>
        <rFont val="Arial"/>
        <family val="0"/>
        <charset val="1"/>
      </rPr>
      <t xml:space="preserve">'</t>
    </r>
  </si>
  <si>
    <t xml:space="preserve">F2-503</t>
  </si>
  <si>
    <t xml:space="preserve">결과 제공</t>
  </si>
  <si>
    <t xml:space="preserve">수집 결과 사용자 제공</t>
  </si>
  <si>
    <r>
      <rPr>
        <sz val="10"/>
        <rFont val="Arial"/>
        <family val="0"/>
        <charset val="1"/>
      </rPr>
      <t xml:space="preserve">ExecutionPage </t>
    </r>
    <r>
      <rPr>
        <sz val="10"/>
        <rFont val="나눔고딕"/>
        <family val="2"/>
      </rPr>
      <t xml:space="preserve">최종 결과 카드</t>
    </r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</si>
  <si>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최종 결과 통합</t>
    </r>
    <r>
      <rPr>
        <sz val="10"/>
        <rFont val="Arial"/>
        <family val="0"/>
        <charset val="1"/>
      </rPr>
      <t xml:space="preserve">'</t>
    </r>
  </si>
  <si>
    <t xml:space="preserve">종단 노드 출력 통합</t>
  </si>
  <si>
    <t xml:space="preserve">F2-504</t>
  </si>
  <si>
    <t xml:space="preserve">결과 확인</t>
  </si>
  <si>
    <t xml:space="preserve">완료 결과 확인 가능</t>
  </si>
  <si>
    <r>
      <rPr>
        <sz val="10"/>
        <rFont val="Arial"/>
        <family val="0"/>
        <charset val="1"/>
      </rPr>
      <t xml:space="preserve">ExecutionPage + </t>
    </r>
    <r>
      <rPr>
        <sz val="10"/>
        <rFont val="나눔고딕"/>
        <family val="2"/>
      </rPr>
      <t xml:space="preserve">에이전트별 출력</t>
    </r>
  </si>
  <si>
    <r>
      <rPr>
        <sz val="10"/>
        <rFont val="나눔고딕"/>
        <family val="2"/>
      </rPr>
      <t xml:space="preserve">실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데모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개인 파일 반영 확인</t>
    </r>
    <r>
      <rPr>
        <sz val="10"/>
        <rFont val="Arial"/>
        <family val="0"/>
        <charset val="1"/>
      </rPr>
      <t xml:space="preserve">)</t>
    </r>
  </si>
  <si>
    <t xml:space="preserve">F2-505</t>
  </si>
  <si>
    <t xml:space="preserve">결과 생성 실패 알림</t>
  </si>
  <si>
    <t xml:space="preserve">실패 시 오류 메시지</t>
  </si>
  <si>
    <r>
      <rPr>
        <sz val="10"/>
        <rFont val="Arial"/>
        <family val="0"/>
        <charset val="1"/>
      </rPr>
      <t xml:space="preserve">ExecutionPage </t>
    </r>
    <r>
      <rPr>
        <sz val="10"/>
        <rFont val="나눔고딕"/>
        <family val="2"/>
      </rPr>
      <t xml:space="preserve">오류 카드</t>
    </r>
  </si>
  <si>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-3</t>
    </r>
  </si>
  <si>
    <t xml:space="preserve">결과 다운로드</t>
  </si>
  <si>
    <t xml:space="preserve">결과 파일 다운로드</t>
  </si>
  <si>
    <r>
      <rPr>
        <sz val="10"/>
        <rFont val="Arial"/>
        <family val="0"/>
        <charset val="1"/>
      </rPr>
      <t xml:space="preserve">ExecutionPage </t>
    </r>
    <r>
      <rPr>
        <sz val="10"/>
        <rFont val="나눔고딕"/>
        <family val="2"/>
      </rPr>
      <t xml:space="preserve">다운로드 버튼</t>
    </r>
  </si>
  <si>
    <r>
      <rPr>
        <sz val="10"/>
        <rFont val="나눔고딕"/>
        <family val="2"/>
      </rPr>
      <t xml:space="preserve">인터페이스 요구 </t>
    </r>
    <r>
      <rPr>
        <sz val="10"/>
        <rFont val="Arial"/>
        <family val="0"/>
        <charset val="1"/>
      </rPr>
      <t xml:space="preserve">5), </t>
    </r>
    <r>
      <rPr>
        <sz val="10"/>
        <rFont val="나눔고딕"/>
        <family val="2"/>
      </rPr>
      <t xml:space="preserve">현재 </t>
    </r>
    <r>
      <rPr>
        <sz val="10"/>
        <rFont val="Arial"/>
        <family val="0"/>
        <charset val="1"/>
      </rPr>
      <t xml:space="preserve">.md </t>
    </r>
    <r>
      <rPr>
        <sz val="10"/>
        <rFont val="나눔고딕"/>
        <family val="2"/>
      </rPr>
      <t xml:space="preserve">형식만 지원</t>
    </r>
  </si>
  <si>
    <t xml:space="preserve">F2-601</t>
  </si>
  <si>
    <r>
      <rPr>
        <sz val="10"/>
        <rFont val="Arial"/>
        <family val="0"/>
        <charset val="1"/>
      </rPr>
      <t xml:space="preserve">UC-206 </t>
    </r>
    <r>
      <rPr>
        <sz val="10"/>
        <rFont val="나눔고딕"/>
        <family val="2"/>
      </rPr>
      <t xml:space="preserve">이력 조회</t>
    </r>
  </si>
  <si>
    <t xml:space="preserve">이력 조회 요청</t>
  </si>
  <si>
    <t xml:space="preserve">과거 실행 이력 조회</t>
  </si>
  <si>
    <t xml:space="preserve">web/src/pages/HistoryPage.tsx</t>
  </si>
  <si>
    <r>
      <rPr>
        <sz val="10"/>
        <rFont val="Arial"/>
        <family val="0"/>
        <charset val="1"/>
      </rPr>
      <t xml:space="preserve">E2E '</t>
    </r>
    <r>
      <rPr>
        <sz val="10"/>
        <rFont val="나눔고딕"/>
        <family val="2"/>
      </rPr>
      <t xml:space="preserve">실행 이력 조회</t>
    </r>
    <r>
      <rPr>
        <sz val="10"/>
        <rFont val="Arial"/>
        <family val="0"/>
        <charset val="1"/>
      </rPr>
      <t xml:space="preserve">'</t>
    </r>
  </si>
  <si>
    <t xml:space="preserve">F2-602</t>
  </si>
  <si>
    <t xml:space="preserve">이력 제공</t>
  </si>
  <si>
    <t xml:space="preserve">실행 이력 목록 제공</t>
  </si>
  <si>
    <t xml:space="preserve">GET /executions</t>
  </si>
  <si>
    <r>
      <rPr>
        <sz val="10"/>
        <rFont val="나눔고딕"/>
        <family val="2"/>
      </rPr>
      <t xml:space="preserve">최근 </t>
    </r>
    <r>
      <rPr>
        <sz val="10"/>
        <rFont val="Arial"/>
        <family val="0"/>
        <charset val="1"/>
      </rPr>
      <t xml:space="preserve">100</t>
    </r>
    <r>
      <rPr>
        <sz val="10"/>
        <rFont val="나눔고딕"/>
        <family val="2"/>
      </rPr>
      <t xml:space="preserve">건</t>
    </r>
  </si>
  <si>
    <t xml:space="preserve">F2-603</t>
  </si>
  <si>
    <t xml:space="preserve">실행 결과 선택</t>
  </si>
  <si>
    <t xml:space="preserve">특정 이력 선택</t>
  </si>
  <si>
    <r>
      <rPr>
        <sz val="10"/>
        <rFont val="Arial"/>
        <family val="0"/>
        <charset val="1"/>
      </rPr>
      <t xml:space="preserve">HistoryPage </t>
    </r>
    <r>
      <rPr>
        <sz val="10"/>
        <rFont val="나눔고딕"/>
        <family val="2"/>
      </rPr>
      <t xml:space="preserve">행 클릭</t>
    </r>
  </si>
  <si>
    <t xml:space="preserve">F2-604</t>
  </si>
  <si>
    <t xml:space="preserve">실행 결과 조회</t>
  </si>
  <si>
    <t xml:space="preserve">선택 결과 조회</t>
  </si>
  <si>
    <t xml:space="preserve">GET /executions/:id</t>
  </si>
  <si>
    <t xml:space="preserve">F2-605</t>
  </si>
  <si>
    <t xml:space="preserve">조회 결과 제공</t>
  </si>
  <si>
    <r>
      <rPr>
        <sz val="10"/>
        <rFont val="Arial"/>
        <family val="0"/>
        <charset val="1"/>
      </rPr>
      <t xml:space="preserve">ExecutionPage </t>
    </r>
    <r>
      <rPr>
        <sz val="10"/>
        <rFont val="나눔고딕"/>
        <family val="2"/>
      </rPr>
      <t xml:space="preserve">재사용</t>
    </r>
  </si>
  <si>
    <t xml:space="preserve">F2-606</t>
  </si>
  <si>
    <t xml:space="preserve">조회 실패 알림</t>
  </si>
  <si>
    <r>
      <rPr>
        <sz val="10"/>
        <rFont val="나눔고딕"/>
        <family val="2"/>
      </rPr>
      <t xml:space="preserve">손상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조회 불가 시 메시지</t>
    </r>
  </si>
  <si>
    <r>
      <rPr>
        <sz val="10"/>
        <rFont val="Arial"/>
        <family val="0"/>
        <charset val="1"/>
      </rPr>
      <t xml:space="preserve">404 </t>
    </r>
    <r>
      <rPr>
        <sz val="10"/>
        <rFont val="나눔고딕"/>
        <family val="2"/>
      </rPr>
      <t xml:space="preserve">응답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화면 오류</t>
    </r>
  </si>
  <si>
    <t xml:space="preserve">e401</t>
  </si>
  <si>
    <t xml:space="preserve">NF-101</t>
  </si>
  <si>
    <t xml:space="preserve">성능</t>
  </si>
  <si>
    <t xml:space="preserve">응답시간</t>
  </si>
  <si>
    <r>
      <rPr>
        <sz val="10"/>
        <rFont val="나눔고딕"/>
        <family val="2"/>
      </rPr>
      <t xml:space="preserve">일반 요청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초 이내 응답</t>
    </r>
  </si>
  <si>
    <t xml:space="preserve">FastAPI + SQLite</t>
  </si>
  <si>
    <t xml:space="preserve">실측</t>
  </si>
  <si>
    <r>
      <rPr>
        <sz val="10"/>
        <rFont val="나눔고딕"/>
        <family val="2"/>
      </rPr>
      <t xml:space="preserve">일반 </t>
    </r>
    <r>
      <rPr>
        <sz val="10"/>
        <rFont val="Arial"/>
        <family val="0"/>
        <charset val="1"/>
      </rPr>
      <t xml:space="preserve">CRUD</t>
    </r>
    <r>
      <rPr>
        <sz val="10"/>
        <rFont val="나눔고딕"/>
        <family val="2"/>
      </rPr>
      <t xml:space="preserve">는 즉시 응답</t>
    </r>
    <r>
      <rPr>
        <sz val="10"/>
        <rFont val="Arial"/>
        <family val="0"/>
        <charset val="1"/>
      </rPr>
      <t xml:space="preserve">. LLM </t>
    </r>
    <r>
      <rPr>
        <sz val="10"/>
        <rFont val="나눔고딕"/>
        <family val="2"/>
      </rPr>
      <t xml:space="preserve">생성 요청은 수십 초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별도 안내 표시</t>
    </r>
    <r>
      <rPr>
        <sz val="10"/>
        <rFont val="Arial"/>
        <family val="0"/>
        <charset val="1"/>
      </rPr>
      <t xml:space="preserve">)</t>
    </r>
  </si>
  <si>
    <t xml:space="preserve">NF-102</t>
  </si>
  <si>
    <t xml:space="preserve">진행상황 갱신</t>
  </si>
  <si>
    <r>
      <rPr>
        <sz val="10"/>
        <rFont val="나눔고딕"/>
        <family val="2"/>
      </rPr>
      <t xml:space="preserve">실행 상태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초 이내 주기 갱신</t>
    </r>
  </si>
  <si>
    <r>
      <rPr>
        <sz val="10"/>
        <rFont val="Arial"/>
        <family val="0"/>
        <charset val="1"/>
      </rPr>
      <t xml:space="preserve">web 3</t>
    </r>
    <r>
      <rPr>
        <sz val="10"/>
        <rFont val="나눔고딕"/>
        <family val="2"/>
      </rPr>
      <t xml:space="preserve">초 폴링</t>
    </r>
  </si>
  <si>
    <r>
      <rPr>
        <sz val="10"/>
        <rFont val="나눔고딕"/>
        <family val="2"/>
      </rPr>
      <t xml:space="preserve">실측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실행 화면</t>
    </r>
    <r>
      <rPr>
        <sz val="10"/>
        <rFont val="Arial"/>
        <family val="0"/>
        <charset val="1"/>
      </rPr>
      <t xml:space="preserve">)</t>
    </r>
  </si>
  <si>
    <t xml:space="preserve">NF-103</t>
  </si>
  <si>
    <t xml:space="preserve">작업 분배 성능</t>
  </si>
  <si>
    <r>
      <rPr>
        <sz val="10"/>
        <rFont val="나눔고딕"/>
        <family val="2"/>
      </rPr>
      <t xml:space="preserve">실행 요청 후 </t>
    </r>
    <r>
      <rPr>
        <sz val="10"/>
        <rFont val="Arial"/>
        <family val="0"/>
        <charset val="1"/>
      </rPr>
      <t xml:space="preserve">60</t>
    </r>
    <r>
      <rPr>
        <sz val="10"/>
        <rFont val="나눔고딕"/>
        <family val="2"/>
      </rPr>
      <t xml:space="preserve">초 내 분배</t>
    </r>
  </si>
  <si>
    <r>
      <rPr>
        <sz val="10"/>
        <rFont val="나눔고딕"/>
        <family val="2"/>
      </rPr>
      <t xml:space="preserve">즉시 </t>
    </r>
    <r>
      <rPr>
        <sz val="10"/>
        <rFont val="Arial"/>
        <family val="0"/>
        <charset val="1"/>
      </rPr>
      <t xml:space="preserve">ready </t>
    </r>
    <r>
      <rPr>
        <sz val="10"/>
        <rFont val="나눔고딕"/>
        <family val="2"/>
      </rPr>
      <t xml:space="preserve">전환 </t>
    </r>
    <r>
      <rPr>
        <sz val="10"/>
        <rFont val="Arial"/>
        <family val="0"/>
        <charset val="1"/>
      </rPr>
      <t xml:space="preserve">+ 3</t>
    </r>
    <r>
      <rPr>
        <sz val="10"/>
        <rFont val="나눔고딕"/>
        <family val="2"/>
      </rPr>
      <t xml:space="preserve">초 폴링</t>
    </r>
  </si>
  <si>
    <r>
      <rPr>
        <sz val="10"/>
        <rFont val="나눔고딕"/>
        <family val="2"/>
      </rPr>
      <t xml:space="preserve">실측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수 초 내 할당</t>
    </r>
    <r>
      <rPr>
        <sz val="10"/>
        <rFont val="Arial"/>
        <family val="0"/>
        <charset val="1"/>
      </rPr>
      <t xml:space="preserve">)</t>
    </r>
  </si>
  <si>
    <t xml:space="preserve">NF-104</t>
  </si>
  <si>
    <t xml:space="preserve">결과 조회 성능</t>
  </si>
  <si>
    <r>
      <rPr>
        <sz val="10"/>
        <rFont val="나눔고딕"/>
        <family val="2"/>
      </rPr>
      <t xml:space="preserve">이력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결과 조회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초 이내</t>
    </r>
  </si>
  <si>
    <t xml:space="preserve">NF-105</t>
  </si>
  <si>
    <t xml:space="preserve">데이터 저장</t>
  </si>
  <si>
    <r>
      <rPr>
        <sz val="10"/>
        <rFont val="나눔고딕"/>
        <family val="2"/>
      </rPr>
      <t xml:space="preserve">결과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이력 저장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실패 시 재시도</t>
    </r>
  </si>
  <si>
    <r>
      <rPr>
        <sz val="10"/>
        <rFont val="Arial"/>
        <family val="0"/>
        <charset val="1"/>
      </rPr>
      <t xml:space="preserve">SQLAlchemy </t>
    </r>
    <r>
      <rPr>
        <sz val="10"/>
        <rFont val="나눔고딕"/>
        <family val="2"/>
      </rPr>
      <t xml:space="preserve">트랜잭션</t>
    </r>
  </si>
  <si>
    <r>
      <rPr>
        <sz val="10"/>
        <rFont val="나눔고딕"/>
        <family val="2"/>
      </rPr>
      <t xml:space="preserve">저장은 구현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실패 재시도 로직 없음</t>
    </r>
  </si>
  <si>
    <t xml:space="preserve">NF-201</t>
  </si>
  <si>
    <t xml:space="preserve">보안</t>
  </si>
  <si>
    <t xml:space="preserve">인증 사용자만 접근</t>
  </si>
  <si>
    <r>
      <rPr>
        <sz val="10"/>
        <rFont val="Arial"/>
        <family val="0"/>
        <charset val="1"/>
      </rPr>
      <t xml:space="preserve">JWT (</t>
    </r>
    <r>
      <rPr>
        <sz val="10"/>
        <rFont val="나눔고딕"/>
        <family val="2"/>
      </rPr>
      <t xml:space="preserve">전 라우트</t>
    </r>
    <r>
      <rPr>
        <sz val="10"/>
        <rFont val="Arial"/>
        <family val="0"/>
        <charset val="1"/>
      </rPr>
      <t xml:space="preserve">) + </t>
    </r>
    <r>
      <rPr>
        <sz val="10"/>
        <rFont val="나눔고딕"/>
        <family val="2"/>
      </rPr>
      <t xml:space="preserve">기기 </t>
    </r>
    <r>
      <rPr>
        <sz val="10"/>
        <rFont val="Arial"/>
        <family val="0"/>
        <charset val="1"/>
      </rPr>
      <t xml:space="preserve">api_key</t>
    </r>
  </si>
  <si>
    <t xml:space="preserve">NF-202</t>
  </si>
  <si>
    <t xml:space="preserve">접근 권한 관리</t>
  </si>
  <si>
    <t xml:space="preserve">본인 자원만 조회 가능</t>
  </si>
  <si>
    <r>
      <rPr>
        <sz val="10"/>
        <rFont val="Arial"/>
        <family val="0"/>
        <charset val="1"/>
      </rPr>
      <t xml:space="preserve">user_id </t>
    </r>
    <r>
      <rPr>
        <sz val="10"/>
        <rFont val="나눔고딕"/>
        <family val="2"/>
      </rPr>
      <t xml:space="preserve">필터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타인 자원 </t>
    </r>
    <r>
      <rPr>
        <sz val="10"/>
        <rFont val="Arial"/>
        <family val="0"/>
        <charset val="1"/>
      </rPr>
      <t xml:space="preserve">404</t>
    </r>
  </si>
  <si>
    <t xml:space="preserve">NF-203</t>
  </si>
  <si>
    <t xml:space="preserve">데이터 암호화</t>
  </si>
  <si>
    <r>
      <rPr>
        <sz val="10"/>
        <rFont val="나눔고딕"/>
        <family val="2"/>
      </rPr>
      <t xml:space="preserve">클라이언트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서버 </t>
    </r>
    <r>
      <rPr>
        <sz val="10"/>
        <rFont val="Arial"/>
        <family val="0"/>
        <charset val="1"/>
      </rPr>
      <t xml:space="preserve">HTTPS</t>
    </r>
  </si>
  <si>
    <r>
      <rPr>
        <sz val="10"/>
        <rFont val="나눔고딕"/>
        <family val="2"/>
      </rPr>
      <t xml:space="preserve">개발 환경 </t>
    </r>
    <r>
      <rPr>
        <sz val="10"/>
        <rFont val="Arial"/>
        <family val="0"/>
        <charset val="1"/>
      </rPr>
      <t xml:space="preserve">HTTP, </t>
    </r>
    <r>
      <rPr>
        <sz val="10"/>
        <rFont val="나눔고딕"/>
        <family val="2"/>
      </rPr>
      <t xml:space="preserve">배포 시 적용 필요</t>
    </r>
  </si>
  <si>
    <t xml:space="preserve">NF-204</t>
  </si>
  <si>
    <t xml:space="preserve">개인정보 보호</t>
  </si>
  <si>
    <r>
      <rPr>
        <sz val="10"/>
        <rFont val="나눔고딕"/>
        <family val="2"/>
      </rPr>
      <t xml:space="preserve">계정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기기 정보 안전 저장</t>
    </r>
  </si>
  <si>
    <r>
      <rPr>
        <sz val="10"/>
        <rFont val="나눔고딕"/>
        <family val="2"/>
      </rPr>
      <t xml:space="preserve">비밀번호 </t>
    </r>
    <r>
      <rPr>
        <sz val="10"/>
        <rFont val="Arial"/>
        <family val="0"/>
        <charset val="1"/>
      </rPr>
      <t xml:space="preserve">pbkdf2 </t>
    </r>
    <r>
      <rPr>
        <sz val="10"/>
        <rFont val="나눔고딕"/>
        <family val="2"/>
      </rPr>
      <t xml:space="preserve">해시</t>
    </r>
  </si>
  <si>
    <r>
      <rPr>
        <sz val="10"/>
        <rFont val="Arial"/>
        <family val="0"/>
        <charset val="1"/>
      </rPr>
      <t xml:space="preserve">JWT </t>
    </r>
    <r>
      <rPr>
        <sz val="10"/>
        <rFont val="나눔고딕"/>
        <family val="2"/>
      </rPr>
      <t xml:space="preserve">서명 키 </t>
    </r>
    <r>
      <rPr>
        <sz val="10"/>
        <rFont val="Arial"/>
        <family val="0"/>
        <charset val="1"/>
      </rPr>
      <t xml:space="preserve">32</t>
    </r>
    <r>
      <rPr>
        <sz val="10"/>
        <rFont val="나눔고딕"/>
        <family val="2"/>
      </rPr>
      <t xml:space="preserve">바이트 이상으로 강화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기기 </t>
    </r>
    <r>
      <rPr>
        <sz val="10"/>
        <rFont val="Arial"/>
        <family val="0"/>
        <charset val="1"/>
      </rPr>
      <t xml:space="preserve">api_key</t>
    </r>
    <r>
      <rPr>
        <sz val="10"/>
        <rFont val="나눔고딕"/>
        <family val="2"/>
      </rPr>
      <t xml:space="preserve">는 평문 저장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개선 예정</t>
    </r>
    <r>
      <rPr>
        <sz val="10"/>
        <rFont val="Arial"/>
        <family val="0"/>
        <charset val="1"/>
      </rPr>
      <t xml:space="preserve">)</t>
    </r>
  </si>
  <si>
    <t xml:space="preserve">NF-205</t>
  </si>
  <si>
    <t xml:space="preserve">비정상 접근 탐지</t>
  </si>
  <si>
    <r>
      <rPr>
        <sz val="10"/>
        <rFont val="나눔고딕"/>
        <family val="2"/>
      </rPr>
      <t xml:space="preserve">비정상 로그인 감지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기록</t>
    </r>
  </si>
  <si>
    <r>
      <rPr>
        <sz val="10"/>
        <rFont val="Arial"/>
        <family val="0"/>
        <charset val="1"/>
      </rPr>
      <t xml:space="preserve">auth.login </t>
    </r>
    <r>
      <rPr>
        <sz val="10"/>
        <rFont val="나눔고딕"/>
        <family val="2"/>
      </rPr>
      <t xml:space="preserve">실패 이벤트 기록</t>
    </r>
  </si>
  <si>
    <t xml:space="preserve">라이브 검증 — 실패 시도가 활동 로그에 표시</t>
  </si>
  <si>
    <r>
      <rPr>
        <sz val="10"/>
        <rFont val="나눔고딕"/>
        <family val="2"/>
      </rPr>
      <t xml:space="preserve">존재하지 않는 아이디 시도 포함 기록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자동 차단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알림은 차기</t>
    </r>
  </si>
  <si>
    <t xml:space="preserve">NF-206</t>
  </si>
  <si>
    <t xml:space="preserve">장애 기기 대응</t>
  </si>
  <si>
    <t xml:space="preserve">단절 기기 작업 재할당</t>
  </si>
  <si>
    <t xml:space="preserve">reclaim_stale_tasks()</t>
  </si>
  <si>
    <r>
      <rPr>
        <sz val="10"/>
        <rFont val="나눔고딕"/>
        <family val="2"/>
      </rPr>
      <t xml:space="preserve">하트비트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초 타임아웃</t>
    </r>
  </si>
  <si>
    <t xml:space="preserve">NF-207</t>
  </si>
  <si>
    <t xml:space="preserve">로그 기록</t>
  </si>
  <si>
    <t xml:space="preserve">주요 이벤트 저장</t>
  </si>
  <si>
    <r>
      <rPr>
        <sz val="10"/>
        <rFont val="Arial"/>
        <family val="0"/>
        <charset val="1"/>
      </rPr>
      <t xml:space="preserve">EventLog </t>
    </r>
    <r>
      <rPr>
        <sz val="10"/>
        <rFont val="나눔고딕"/>
        <family val="2"/>
      </rPr>
      <t xml:space="preserve">모델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활동 로그 화면</t>
    </r>
  </si>
  <si>
    <r>
      <rPr>
        <sz val="10"/>
        <rFont val="나눔고딕"/>
        <family val="2"/>
      </rPr>
      <t xml:space="preserve">라이브 검증 — 로그인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기기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실행 이벤트 기록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조회 확인</t>
    </r>
  </si>
  <si>
    <r>
      <rPr>
        <sz val="10"/>
        <rFont val="나눔고딕"/>
        <family val="2"/>
      </rPr>
      <t xml:space="preserve">가입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로그인 성공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실패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기기 등록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수정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삭제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실행 시작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완료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실패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중단 기록</t>
    </r>
  </si>
  <si>
    <t xml:space="preserve">NF-208</t>
  </si>
  <si>
    <t xml:space="preserve">데이터 무결성</t>
  </si>
  <si>
    <r>
      <rPr>
        <sz val="10"/>
        <rFont val="나눔고딕"/>
        <family val="2"/>
      </rPr>
      <t xml:space="preserve">저장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전송 무결성 보장</t>
    </r>
  </si>
  <si>
    <r>
      <rPr>
        <sz val="10"/>
        <rFont val="Arial"/>
        <family val="0"/>
        <charset val="1"/>
      </rPr>
      <t xml:space="preserve">DB </t>
    </r>
    <r>
      <rPr>
        <sz val="10"/>
        <rFont val="나눔고딕"/>
        <family val="2"/>
      </rPr>
      <t xml:space="preserve">트랜잭션 </t>
    </r>
    <r>
      <rPr>
        <sz val="10"/>
        <rFont val="Arial"/>
        <family val="0"/>
        <charset val="1"/>
      </rPr>
      <t xml:space="preserve">+ WAL</t>
    </r>
  </si>
  <si>
    <t xml:space="preserve">전송 체크섬 등은 없음</t>
  </si>
  <si>
    <t xml:space="preserve">NF-301</t>
  </si>
  <si>
    <t xml:space="preserve">기타</t>
  </si>
  <si>
    <t xml:space="preserve">사용성</t>
  </si>
  <si>
    <t xml:space="preserve">매뉴얼 없이 주요 기능 사용</t>
  </si>
  <si>
    <r>
      <rPr>
        <sz val="10"/>
        <rFont val="나눔고딕"/>
        <family val="2"/>
      </rPr>
      <t xml:space="preserve">블록코딩 </t>
    </r>
    <r>
      <rPr>
        <sz val="10"/>
        <rFont val="Arial"/>
        <family val="0"/>
        <charset val="1"/>
      </rPr>
      <t xml:space="preserve">UI + </t>
    </r>
    <r>
      <rPr>
        <sz val="10"/>
        <rFont val="나눔고딕"/>
        <family val="2"/>
      </rPr>
      <t xml:space="preserve">프리셋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안내 문구</t>
    </r>
  </si>
  <si>
    <t xml:space="preserve">정성 평가</t>
  </si>
  <si>
    <t xml:space="preserve">NF-302</t>
  </si>
  <si>
    <t xml:space="preserve">유지보수성</t>
  </si>
  <si>
    <t xml:space="preserve">기능별 모듈 구조</t>
  </si>
  <si>
    <r>
      <rPr>
        <sz val="10"/>
        <rFont val="Arial"/>
        <family val="0"/>
        <charset val="1"/>
      </rPr>
      <t xml:space="preserve">routers/services/agent </t>
    </r>
    <r>
      <rPr>
        <sz val="10"/>
        <rFont val="나눔고딕"/>
        <family val="2"/>
      </rPr>
      <t xml:space="preserve">모듈 분리</t>
    </r>
  </si>
  <si>
    <t xml:space="preserve">NF-303</t>
  </si>
  <si>
    <t xml:space="preserve">신뢰성</t>
  </si>
  <si>
    <t xml:space="preserve">실패 시 오류 원인 제공</t>
  </si>
  <si>
    <r>
      <rPr>
        <sz val="10"/>
        <rFont val="나눔고딕"/>
        <family val="2"/>
      </rPr>
      <t xml:space="preserve">모든 오류 응답에 사유</t>
    </r>
    <r>
      <rPr>
        <sz val="10"/>
        <rFont val="Arial"/>
        <family val="0"/>
        <charset val="1"/>
      </rPr>
      <t xml:space="preserve">(detail)</t>
    </r>
  </si>
  <si>
    <t xml:space="preserve">NF-304</t>
  </si>
  <si>
    <t xml:space="preserve">확장성</t>
  </si>
  <si>
    <r>
      <rPr>
        <sz val="10"/>
        <rFont val="나눔고딕"/>
        <family val="2"/>
      </rPr>
      <t xml:space="preserve">새 기기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에이전트 추가 가능</t>
    </r>
  </si>
  <si>
    <r>
      <rPr>
        <sz val="10"/>
        <rFont val="나눔고딕"/>
        <family val="2"/>
      </rPr>
      <t xml:space="preserve">개방형 기기 등록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블록 프리셋</t>
    </r>
  </si>
  <si>
    <t xml:space="preserve">실기기 데모</t>
  </si>
  <si>
    <t xml:space="preserve">NF-305</t>
  </si>
  <si>
    <t xml:space="preserve">재사용성</t>
  </si>
  <si>
    <r>
      <rPr>
        <sz val="10"/>
        <rFont val="나눔고딕"/>
        <family val="2"/>
      </rPr>
      <t xml:space="preserve">에이전트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구성요소 재사용</t>
    </r>
  </si>
  <si>
    <t xml:space="preserve">역할 프리셋 블록</t>
  </si>
  <si>
    <t xml:space="preserve">서비스 간 에이전트 공유는 미지원</t>
  </si>
  <si>
    <t xml:space="preserve">NF-306</t>
  </si>
  <si>
    <t xml:space="preserve">결과 보관 정책</t>
  </si>
  <si>
    <r>
      <rPr>
        <sz val="10"/>
        <rFont val="나눔고딕"/>
        <family val="2"/>
      </rPr>
      <t xml:space="preserve">결과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이력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일 이상 보관</t>
    </r>
  </si>
  <si>
    <r>
      <rPr>
        <sz val="10"/>
        <rFont val="Arial"/>
        <family val="0"/>
        <charset val="1"/>
      </rPr>
      <t xml:space="preserve">DB </t>
    </r>
    <r>
      <rPr>
        <sz val="10"/>
        <rFont val="나눔고딕"/>
        <family val="2"/>
      </rPr>
      <t xml:space="preserve">영구 보관</t>
    </r>
  </si>
  <si>
    <r>
      <rPr>
        <sz val="10"/>
        <rFont val="나눔고딕"/>
        <family val="2"/>
      </rPr>
      <t xml:space="preserve">삭제 정책 없음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무기한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정리 정책은 차기</t>
    </r>
  </si>
  <si>
    <t xml:space="preserve">NF-307</t>
  </si>
  <si>
    <t xml:space="preserve">시스템 로그 보관</t>
  </si>
  <si>
    <r>
      <rPr>
        <sz val="10"/>
        <rFont val="나눔고딕"/>
        <family val="2"/>
      </rPr>
      <t xml:space="preserve">주요 로그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일 이상 보관</t>
    </r>
  </si>
  <si>
    <r>
      <rPr>
        <sz val="10"/>
        <rFont val="Arial"/>
        <family val="0"/>
        <charset val="1"/>
      </rPr>
      <t xml:space="preserve">EventLog (DB </t>
    </r>
    <r>
      <rPr>
        <sz val="10"/>
        <rFont val="나눔고딕"/>
        <family val="2"/>
      </rPr>
      <t xml:space="preserve">영구 보관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</si>
  <si>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삭제 정책 없이 영구 보관되어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일 이상 요건 충족</t>
    </r>
  </si>
  <si>
    <t xml:space="preserve">OR-101</t>
  </si>
  <si>
    <t xml:space="preserve">법적</t>
  </si>
  <si>
    <t xml:space="preserve">오픈소스 라이선스 준수</t>
  </si>
  <si>
    <t xml:space="preserve">사용 오픈소스 라이선스 준수</t>
  </si>
  <si>
    <r>
      <rPr>
        <sz val="10"/>
        <rFont val="Arial"/>
        <family val="0"/>
        <charset val="1"/>
      </rPr>
      <t xml:space="preserve">FastAPI·React·React Flow·Ollama </t>
    </r>
    <r>
      <rPr>
        <sz val="10"/>
        <rFont val="나눔고딕"/>
        <family val="2"/>
      </rPr>
      <t xml:space="preserve">등</t>
    </r>
  </si>
  <si>
    <t xml:space="preserve">라이선스 확인</t>
  </si>
  <si>
    <r>
      <rPr>
        <sz val="10"/>
        <rFont val="Arial"/>
        <family val="0"/>
        <charset val="1"/>
      </rPr>
      <t xml:space="preserve">MIT/Apache/BSD </t>
    </r>
    <r>
      <rPr>
        <sz val="10"/>
        <rFont val="나눔고딕"/>
        <family val="2"/>
      </rPr>
      <t xml:space="preserve">계열</t>
    </r>
  </si>
  <si>
    <t xml:space="preserve">OR-102</t>
  </si>
  <si>
    <r>
      <rPr>
        <sz val="10"/>
        <rFont val="Arial"/>
        <family val="0"/>
        <charset val="1"/>
      </rPr>
      <t xml:space="preserve">API </t>
    </r>
    <r>
      <rPr>
        <sz val="10"/>
        <rFont val="나눔고딕"/>
        <family val="2"/>
      </rPr>
      <t xml:space="preserve">사용 정책 준수</t>
    </r>
  </si>
  <si>
    <r>
      <rPr>
        <sz val="10"/>
        <rFont val="나눔고딕"/>
        <family val="2"/>
      </rPr>
      <t xml:space="preserve">외부 </t>
    </r>
    <r>
      <rPr>
        <sz val="10"/>
        <rFont val="Arial"/>
        <family val="0"/>
        <charset val="1"/>
      </rPr>
      <t xml:space="preserve">API </t>
    </r>
    <r>
      <rPr>
        <sz val="10"/>
        <rFont val="나눔고딕"/>
        <family val="2"/>
      </rPr>
      <t xml:space="preserve">정책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제한 준수</t>
    </r>
  </si>
  <si>
    <r>
      <rPr>
        <sz val="10"/>
        <rFont val="나눔고딕"/>
        <family val="2"/>
      </rPr>
      <t xml:space="preserve">현재 외부 </t>
    </r>
    <r>
      <rPr>
        <sz val="10"/>
        <rFont val="Arial"/>
        <family val="0"/>
        <charset val="1"/>
      </rPr>
      <t xml:space="preserve">API </t>
    </r>
    <r>
      <rPr>
        <sz val="10"/>
        <rFont val="나눔고딕"/>
        <family val="2"/>
      </rPr>
      <t xml:space="preserve">미사용</t>
    </r>
  </si>
  <si>
    <r>
      <rPr>
        <sz val="10"/>
        <rFont val="나눔고딕"/>
        <family val="2"/>
      </rPr>
      <t xml:space="preserve">로컬 </t>
    </r>
    <r>
      <rPr>
        <sz val="10"/>
        <rFont val="Arial"/>
        <family val="0"/>
        <charset val="1"/>
      </rPr>
      <t xml:space="preserve">LLM</t>
    </r>
    <r>
      <rPr>
        <sz val="10"/>
        <rFont val="나눔고딕"/>
        <family val="2"/>
      </rPr>
      <t xml:space="preserve">만 사용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외부 연동 시 재검토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</si>
</sst>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나눔고딕"/>
      <family val="2"/>
    </font>
    <font>
      <sz val="10"/>
      <color rgb="FF6B7280"/>
      <name val="나눔고딕"/>
      <family val="2"/>
    </font>
    <font>
      <sz val="10"/>
      <color rgb="FF6B7280"/>
      <name val="Arial"/>
      <family val="0"/>
      <charset val="1"/>
    </font>
    <font>
      <b val="true"/>
      <sz val="10"/>
      <name val="나눔고딕"/>
      <family val="2"/>
    </font>
    <font>
      <sz val="10"/>
      <name val="Arial"/>
      <family val="0"/>
      <charset val="1"/>
    </font>
    <font>
      <sz val="10"/>
      <name val="나눔고딕"/>
      <family val="2"/>
    </font>
    <font>
      <b val="true"/>
      <sz val="10"/>
      <color rgb="FFFFFFFF"/>
      <name val="나눔고딕"/>
      <family val="2"/>
    </font>
    <font>
      <b val="true"/>
      <sz val="10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15803D"/>
      <name val="나눔고딕"/>
      <family val="2"/>
    </font>
    <font>
      <b val="true"/>
      <sz val="10"/>
      <color rgb="FFA16207"/>
      <name val="나눔고딕"/>
      <family val="2"/>
    </font>
    <font>
      <b val="true"/>
      <sz val="10"/>
      <color rgb="FFB91C1C"/>
      <name val="나눔고딕"/>
      <family val="2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730A3"/>
        <bgColor rgb="FF003366"/>
      </patternFill>
    </fill>
    <fill>
      <patternFill patternType="solid">
        <fgColor rgb="FFEEF2FF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9C3"/>
        <bgColor rgb="FFFFFF99"/>
      </patternFill>
    </fill>
    <fill>
      <patternFill patternType="solid">
        <fgColor rgb="FFFEE2E2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3730A3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A16207"/>
          <bgColor rgb="FF000000"/>
        </patternFill>
      </fill>
    </dxf>
    <dxf>
      <fill>
        <patternFill patternType="solid">
          <fgColor rgb="FFB9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A16207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730A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1.7"/>
    <col collapsed="false" customWidth="true" hidden="false" outlineLevel="0" max="3" min="3" style="0" width="13.35"/>
    <col collapsed="false" customWidth="true" hidden="false" outlineLevel="0" max="6" min="4" style="0" width="11.68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1" customFormat="false" ht="15" hidden="false" customHeight="false" outlineLevel="0" collapsed="false"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</row>
    <row r="12" customFormat="false" ht="15" hidden="false" customHeight="false" outlineLevel="0" collapsed="false">
      <c r="B12" s="6" t="s">
        <v>17</v>
      </c>
      <c r="C12" s="7" t="n">
        <f aca="false">COUNTIF('기능 요구사항'!$E$2:$E$77,"구현 완료")</f>
        <v>69</v>
      </c>
      <c r="D12" s="7" t="n">
        <f aca="false">COUNTIF('기능 요구사항'!$E$2:$E$77,"부분 구현")</f>
        <v>6</v>
      </c>
      <c r="E12" s="7" t="n">
        <f aca="false">COUNTIF('기능 요구사항'!$E$2:$E$77,"미구현")</f>
        <v>1</v>
      </c>
      <c r="F12" s="8" t="n">
        <f aca="false">SUM(C12:E12)</f>
        <v>76</v>
      </c>
    </row>
    <row r="13" customFormat="false" ht="15" hidden="false" customHeight="false" outlineLevel="0" collapsed="false">
      <c r="B13" s="6" t="s">
        <v>18</v>
      </c>
      <c r="C13" s="7" t="n">
        <f aca="false">COUNTIF(비기능·기타!$E$2:$E$23,"구현 완료")</f>
        <v>15</v>
      </c>
      <c r="D13" s="7" t="n">
        <f aca="false">COUNTIF(비기능·기타!$E$2:$E$23,"부분 구현")</f>
        <v>6</v>
      </c>
      <c r="E13" s="7" t="n">
        <f aca="false">COUNTIF(비기능·기타!$E$2:$E$23,"미구현")</f>
        <v>1</v>
      </c>
      <c r="F13" s="8" t="n">
        <f aca="false">SUM(C13:E13)</f>
        <v>22</v>
      </c>
    </row>
    <row r="14" customFormat="false" ht="15" hidden="false" customHeight="false" outlineLevel="0" collapsed="false">
      <c r="B14" s="9" t="s">
        <v>19</v>
      </c>
      <c r="C14" s="10" t="n">
        <f aca="false">SUM(C12:C13)</f>
        <v>84</v>
      </c>
      <c r="D14" s="10" t="n">
        <f aca="false">SUM(D12:D13)</f>
        <v>12</v>
      </c>
      <c r="E14" s="10" t="n">
        <f aca="false">SUM(E12:E13)</f>
        <v>2</v>
      </c>
      <c r="F14" s="10" t="n">
        <f aca="false">SUM(F12:F13)</f>
        <v>98</v>
      </c>
    </row>
    <row r="16" customFormat="false" ht="15" hidden="false" customHeight="false" outlineLevel="0" collapsed="false">
      <c r="B16" s="3" t="s">
        <v>20</v>
      </c>
      <c r="C16" s="11" t="n">
        <f aca="false">C14/F14</f>
        <v>0.857142857142857</v>
      </c>
    </row>
    <row r="18" customFormat="false" ht="15" hidden="false" customHeight="false" outlineLevel="0" collapsed="false">
      <c r="B18" s="3" t="s">
        <v>21</v>
      </c>
    </row>
    <row r="19" customFormat="false" ht="15" hidden="false" customHeight="false" outlineLevel="0" collapsed="false">
      <c r="B19" s="12" t="s">
        <v>13</v>
      </c>
      <c r="C19" s="13" t="s">
        <v>22</v>
      </c>
    </row>
    <row r="20" customFormat="false" ht="15" hidden="false" customHeight="false" outlineLevel="0" collapsed="false">
      <c r="B20" s="14" t="s">
        <v>14</v>
      </c>
      <c r="C20" s="13" t="s">
        <v>23</v>
      </c>
    </row>
    <row r="21" customFormat="false" ht="15" hidden="false" customHeight="false" outlineLevel="0" collapsed="false">
      <c r="B21" s="15" t="s">
        <v>15</v>
      </c>
      <c r="C21" s="1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15.02"/>
    <col collapsed="false" customWidth="true" hidden="false" outlineLevel="0" max="3" min="3" style="0" width="16.69"/>
    <col collapsed="false" customWidth="true" hidden="false" outlineLevel="0" max="4" min="4" style="0" width="25.04"/>
    <col collapsed="false" customWidth="true" hidden="false" outlineLevel="0" max="5" min="5" style="0" width="9.18"/>
    <col collapsed="false" customWidth="true" hidden="false" outlineLevel="0" max="6" min="6" style="0" width="26.71"/>
    <col collapsed="false" customWidth="true" hidden="false" outlineLevel="0" max="7" min="7" style="0" width="25.04"/>
    <col collapsed="false" customWidth="true" hidden="false" outlineLevel="0" max="8" min="8" style="0" width="31.71"/>
  </cols>
  <sheetData>
    <row r="1" customFormat="false" ht="23.85" hidden="false" customHeight="fals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customFormat="false" ht="15" hidden="false" customHeight="false" outlineLevel="0" collapsed="false">
      <c r="A2" s="16" t="s">
        <v>33</v>
      </c>
      <c r="B2" s="17" t="s">
        <v>34</v>
      </c>
      <c r="C2" s="18" t="s">
        <v>35</v>
      </c>
      <c r="D2" s="18" t="s">
        <v>36</v>
      </c>
      <c r="E2" s="12" t="s">
        <v>13</v>
      </c>
      <c r="F2" s="17" t="s">
        <v>37</v>
      </c>
      <c r="G2" s="17" t="s">
        <v>38</v>
      </c>
      <c r="H2" s="17"/>
    </row>
    <row r="3" customFormat="false" ht="15" hidden="false" customHeight="false" outlineLevel="0" collapsed="false">
      <c r="A3" s="7" t="s">
        <v>39</v>
      </c>
      <c r="B3" s="19" t="s">
        <v>34</v>
      </c>
      <c r="C3" s="6" t="s">
        <v>40</v>
      </c>
      <c r="D3" s="6" t="s">
        <v>41</v>
      </c>
      <c r="E3" s="12" t="s">
        <v>13</v>
      </c>
      <c r="F3" s="19" t="s">
        <v>37</v>
      </c>
      <c r="G3" s="19" t="s">
        <v>42</v>
      </c>
      <c r="H3" s="19"/>
    </row>
    <row r="4" customFormat="false" ht="15" hidden="false" customHeight="false" outlineLevel="0" collapsed="false">
      <c r="A4" s="7" t="s">
        <v>43</v>
      </c>
      <c r="B4" s="19" t="s">
        <v>34</v>
      </c>
      <c r="C4" s="6" t="s">
        <v>44</v>
      </c>
      <c r="D4" s="6" t="s">
        <v>45</v>
      </c>
      <c r="E4" s="12" t="s">
        <v>13</v>
      </c>
      <c r="F4" s="19" t="s">
        <v>46</v>
      </c>
      <c r="G4" s="19" t="s">
        <v>42</v>
      </c>
      <c r="H4" s="6" t="s">
        <v>47</v>
      </c>
    </row>
    <row r="5" customFormat="false" ht="15" hidden="false" customHeight="false" outlineLevel="0" collapsed="false">
      <c r="A5" s="7" t="s">
        <v>48</v>
      </c>
      <c r="B5" s="19" t="s">
        <v>34</v>
      </c>
      <c r="C5" s="6" t="s">
        <v>49</v>
      </c>
      <c r="D5" s="6" t="s">
        <v>50</v>
      </c>
      <c r="E5" s="12" t="s">
        <v>13</v>
      </c>
      <c r="F5" s="19" t="s">
        <v>51</v>
      </c>
      <c r="G5" s="19" t="s">
        <v>52</v>
      </c>
      <c r="H5" s="19" t="s">
        <v>53</v>
      </c>
    </row>
    <row r="6" customFormat="false" ht="15" hidden="false" customHeight="false" outlineLevel="0" collapsed="false">
      <c r="A6" s="7" t="s">
        <v>54</v>
      </c>
      <c r="B6" s="19" t="s">
        <v>34</v>
      </c>
      <c r="C6" s="6" t="s">
        <v>55</v>
      </c>
      <c r="D6" s="6" t="s">
        <v>56</v>
      </c>
      <c r="E6" s="12" t="s">
        <v>13</v>
      </c>
      <c r="F6" s="19" t="s">
        <v>51</v>
      </c>
      <c r="G6" s="19" t="s">
        <v>57</v>
      </c>
      <c r="H6" s="6" t="s">
        <v>58</v>
      </c>
    </row>
    <row r="7" customFormat="false" ht="15" hidden="false" customHeight="false" outlineLevel="0" collapsed="false">
      <c r="A7" s="7" t="s">
        <v>59</v>
      </c>
      <c r="B7" s="19" t="s">
        <v>34</v>
      </c>
      <c r="C7" s="6" t="s">
        <v>60</v>
      </c>
      <c r="D7" s="6" t="s">
        <v>61</v>
      </c>
      <c r="E7" s="12" t="s">
        <v>13</v>
      </c>
      <c r="F7" s="19" t="s">
        <v>62</v>
      </c>
      <c r="G7" s="19" t="s">
        <v>63</v>
      </c>
      <c r="H7" s="19"/>
    </row>
    <row r="8" customFormat="false" ht="15" hidden="false" customHeight="false" outlineLevel="0" collapsed="false">
      <c r="A8" s="7" t="s">
        <v>64</v>
      </c>
      <c r="B8" s="19" t="s">
        <v>34</v>
      </c>
      <c r="C8" s="6" t="s">
        <v>65</v>
      </c>
      <c r="D8" s="6" t="s">
        <v>66</v>
      </c>
      <c r="E8" s="12" t="s">
        <v>13</v>
      </c>
      <c r="F8" s="19" t="s">
        <v>51</v>
      </c>
      <c r="G8" s="19" t="s">
        <v>42</v>
      </c>
      <c r="H8" s="19"/>
    </row>
    <row r="9" customFormat="false" ht="23.85" hidden="false" customHeight="false" outlineLevel="0" collapsed="false">
      <c r="A9" s="20" t="s">
        <v>67</v>
      </c>
      <c r="B9" s="19" t="s">
        <v>34</v>
      </c>
      <c r="C9" s="6" t="s">
        <v>68</v>
      </c>
      <c r="D9" s="6" t="s">
        <v>69</v>
      </c>
      <c r="E9" s="12" t="s">
        <v>13</v>
      </c>
      <c r="F9" s="19" t="s">
        <v>70</v>
      </c>
      <c r="G9" s="6" t="s">
        <v>71</v>
      </c>
      <c r="H9" s="6" t="s">
        <v>72</v>
      </c>
    </row>
    <row r="10" customFormat="false" ht="15" hidden="false" customHeight="false" outlineLevel="0" collapsed="false">
      <c r="A10" s="16" t="s">
        <v>73</v>
      </c>
      <c r="B10" s="17" t="s">
        <v>74</v>
      </c>
      <c r="C10" s="18" t="s">
        <v>75</v>
      </c>
      <c r="D10" s="18" t="s">
        <v>75</v>
      </c>
      <c r="E10" s="12" t="s">
        <v>13</v>
      </c>
      <c r="F10" s="17" t="s">
        <v>37</v>
      </c>
      <c r="G10" s="18" t="s">
        <v>76</v>
      </c>
      <c r="H10" s="17"/>
    </row>
    <row r="11" customFormat="false" ht="15" hidden="false" customHeight="false" outlineLevel="0" collapsed="false">
      <c r="A11" s="7" t="s">
        <v>77</v>
      </c>
      <c r="B11" s="19" t="s">
        <v>74</v>
      </c>
      <c r="C11" s="6" t="s">
        <v>78</v>
      </c>
      <c r="D11" s="6" t="s">
        <v>79</v>
      </c>
      <c r="E11" s="12" t="s">
        <v>13</v>
      </c>
      <c r="F11" s="19" t="s">
        <v>37</v>
      </c>
      <c r="G11" s="19" t="s">
        <v>42</v>
      </c>
      <c r="H11" s="19"/>
    </row>
    <row r="12" customFormat="false" ht="15" hidden="false" customHeight="false" outlineLevel="0" collapsed="false">
      <c r="A12" s="7" t="s">
        <v>80</v>
      </c>
      <c r="B12" s="19" t="s">
        <v>74</v>
      </c>
      <c r="C12" s="6" t="s">
        <v>81</v>
      </c>
      <c r="D12" s="6" t="s">
        <v>82</v>
      </c>
      <c r="E12" s="12" t="s">
        <v>13</v>
      </c>
      <c r="F12" s="19" t="s">
        <v>83</v>
      </c>
      <c r="G12" s="19" t="s">
        <v>84</v>
      </c>
      <c r="H12" s="19" t="s">
        <v>85</v>
      </c>
    </row>
    <row r="13" customFormat="false" ht="15" hidden="false" customHeight="false" outlineLevel="0" collapsed="false">
      <c r="A13" s="7" t="s">
        <v>86</v>
      </c>
      <c r="B13" s="19" t="s">
        <v>74</v>
      </c>
      <c r="C13" s="6" t="s">
        <v>87</v>
      </c>
      <c r="D13" s="6" t="s">
        <v>88</v>
      </c>
      <c r="E13" s="12" t="s">
        <v>13</v>
      </c>
      <c r="F13" s="6" t="s">
        <v>89</v>
      </c>
      <c r="G13" s="19" t="s">
        <v>63</v>
      </c>
      <c r="H13" s="19"/>
    </row>
    <row r="14" customFormat="false" ht="15" hidden="false" customHeight="false" outlineLevel="0" collapsed="false">
      <c r="A14" s="7" t="s">
        <v>90</v>
      </c>
      <c r="B14" s="19" t="s">
        <v>74</v>
      </c>
      <c r="C14" s="6" t="s">
        <v>91</v>
      </c>
      <c r="D14" s="6" t="s">
        <v>92</v>
      </c>
      <c r="E14" s="12" t="s">
        <v>13</v>
      </c>
      <c r="F14" s="19" t="s">
        <v>51</v>
      </c>
      <c r="G14" s="19" t="s">
        <v>93</v>
      </c>
      <c r="H14" s="19" t="s">
        <v>94</v>
      </c>
    </row>
    <row r="15" customFormat="false" ht="15" hidden="false" customHeight="false" outlineLevel="0" collapsed="false">
      <c r="A15" s="16" t="s">
        <v>95</v>
      </c>
      <c r="B15" s="17" t="s">
        <v>96</v>
      </c>
      <c r="C15" s="18" t="s">
        <v>97</v>
      </c>
      <c r="D15" s="18" t="s">
        <v>98</v>
      </c>
      <c r="E15" s="12" t="s">
        <v>13</v>
      </c>
      <c r="F15" s="17" t="s">
        <v>99</v>
      </c>
      <c r="G15" s="18" t="s">
        <v>100</v>
      </c>
      <c r="H15" s="17"/>
    </row>
    <row r="16" customFormat="false" ht="15" hidden="false" customHeight="false" outlineLevel="0" collapsed="false">
      <c r="A16" s="7" t="s">
        <v>101</v>
      </c>
      <c r="B16" s="19" t="s">
        <v>96</v>
      </c>
      <c r="C16" s="6" t="s">
        <v>102</v>
      </c>
      <c r="D16" s="6" t="s">
        <v>103</v>
      </c>
      <c r="E16" s="12" t="s">
        <v>13</v>
      </c>
      <c r="F16" s="19" t="s">
        <v>99</v>
      </c>
      <c r="G16" s="6" t="s">
        <v>104</v>
      </c>
      <c r="H16" s="6" t="s">
        <v>105</v>
      </c>
    </row>
    <row r="17" customFormat="false" ht="15" hidden="false" customHeight="false" outlineLevel="0" collapsed="false">
      <c r="A17" s="7" t="s">
        <v>106</v>
      </c>
      <c r="B17" s="19" t="s">
        <v>96</v>
      </c>
      <c r="C17" s="6" t="s">
        <v>107</v>
      </c>
      <c r="D17" s="19" t="s">
        <v>108</v>
      </c>
      <c r="E17" s="12" t="s">
        <v>13</v>
      </c>
      <c r="F17" s="19" t="s">
        <v>109</v>
      </c>
      <c r="G17" s="6" t="s">
        <v>110</v>
      </c>
      <c r="H17" s="19" t="s">
        <v>111</v>
      </c>
    </row>
    <row r="18" customFormat="false" ht="15" hidden="false" customHeight="false" outlineLevel="0" collapsed="false">
      <c r="A18" s="7" t="s">
        <v>112</v>
      </c>
      <c r="B18" s="19" t="s">
        <v>96</v>
      </c>
      <c r="C18" s="6" t="s">
        <v>113</v>
      </c>
      <c r="D18" s="6" t="s">
        <v>114</v>
      </c>
      <c r="E18" s="15" t="s">
        <v>15</v>
      </c>
      <c r="F18" s="19" t="s">
        <v>115</v>
      </c>
      <c r="G18" s="19" t="s">
        <v>115</v>
      </c>
      <c r="H18" s="6" t="s">
        <v>116</v>
      </c>
    </row>
    <row r="19" customFormat="false" ht="15" hidden="false" customHeight="false" outlineLevel="0" collapsed="false">
      <c r="A19" s="7" t="s">
        <v>117</v>
      </c>
      <c r="B19" s="19" t="s">
        <v>96</v>
      </c>
      <c r="C19" s="6" t="s">
        <v>118</v>
      </c>
      <c r="D19" s="6" t="s">
        <v>119</v>
      </c>
      <c r="E19" s="14" t="s">
        <v>14</v>
      </c>
      <c r="F19" s="19" t="s">
        <v>120</v>
      </c>
      <c r="G19" s="6" t="s">
        <v>121</v>
      </c>
      <c r="H19" s="6" t="s">
        <v>122</v>
      </c>
    </row>
    <row r="20" customFormat="false" ht="15" hidden="false" customHeight="false" outlineLevel="0" collapsed="false">
      <c r="A20" s="7" t="s">
        <v>123</v>
      </c>
      <c r="B20" s="19" t="s">
        <v>96</v>
      </c>
      <c r="C20" s="6" t="s">
        <v>124</v>
      </c>
      <c r="D20" s="6" t="s">
        <v>125</v>
      </c>
      <c r="E20" s="12" t="s">
        <v>13</v>
      </c>
      <c r="F20" s="19" t="s">
        <v>120</v>
      </c>
      <c r="G20" s="19" t="s">
        <v>126</v>
      </c>
      <c r="H20" s="19" t="s">
        <v>127</v>
      </c>
    </row>
    <row r="21" customFormat="false" ht="15" hidden="false" customHeight="false" outlineLevel="0" collapsed="false">
      <c r="A21" s="7" t="s">
        <v>128</v>
      </c>
      <c r="B21" s="19" t="s">
        <v>96</v>
      </c>
      <c r="C21" s="6" t="s">
        <v>129</v>
      </c>
      <c r="D21" s="6" t="s">
        <v>130</v>
      </c>
      <c r="E21" s="12" t="s">
        <v>13</v>
      </c>
      <c r="F21" s="19" t="s">
        <v>120</v>
      </c>
      <c r="G21" s="19" t="s">
        <v>131</v>
      </c>
      <c r="H21" s="6" t="s">
        <v>132</v>
      </c>
    </row>
    <row r="22" customFormat="false" ht="15" hidden="false" customHeight="false" outlineLevel="0" collapsed="false">
      <c r="A22" s="7" t="s">
        <v>133</v>
      </c>
      <c r="B22" s="19" t="s">
        <v>96</v>
      </c>
      <c r="C22" s="6" t="s">
        <v>134</v>
      </c>
      <c r="D22" s="6" t="s">
        <v>61</v>
      </c>
      <c r="E22" s="12" t="s">
        <v>13</v>
      </c>
      <c r="F22" s="19" t="s">
        <v>135</v>
      </c>
      <c r="G22" s="19" t="s">
        <v>136</v>
      </c>
      <c r="H22" s="19"/>
    </row>
    <row r="23" customFormat="false" ht="15" hidden="false" customHeight="false" outlineLevel="0" collapsed="false">
      <c r="A23" s="16" t="s">
        <v>137</v>
      </c>
      <c r="B23" s="17" t="s">
        <v>138</v>
      </c>
      <c r="C23" s="18" t="s">
        <v>139</v>
      </c>
      <c r="D23" s="18" t="s">
        <v>140</v>
      </c>
      <c r="E23" s="12" t="s">
        <v>13</v>
      </c>
      <c r="F23" s="17" t="s">
        <v>141</v>
      </c>
      <c r="G23" s="18" t="s">
        <v>76</v>
      </c>
      <c r="H23" s="17" t="s">
        <v>142</v>
      </c>
    </row>
    <row r="24" customFormat="false" ht="15" hidden="false" customHeight="false" outlineLevel="0" collapsed="false">
      <c r="A24" s="7" t="s">
        <v>143</v>
      </c>
      <c r="B24" s="19" t="s">
        <v>138</v>
      </c>
      <c r="C24" s="6" t="s">
        <v>144</v>
      </c>
      <c r="D24" s="6" t="s">
        <v>145</v>
      </c>
      <c r="E24" s="12" t="s">
        <v>13</v>
      </c>
      <c r="F24" s="19" t="s">
        <v>141</v>
      </c>
      <c r="G24" s="6" t="s">
        <v>76</v>
      </c>
      <c r="H24" s="19"/>
    </row>
    <row r="25" customFormat="false" ht="15" hidden="false" customHeight="false" outlineLevel="0" collapsed="false">
      <c r="A25" s="7" t="s">
        <v>146</v>
      </c>
      <c r="B25" s="19" t="s">
        <v>138</v>
      </c>
      <c r="C25" s="6" t="s">
        <v>147</v>
      </c>
      <c r="D25" s="6" t="s">
        <v>148</v>
      </c>
      <c r="E25" s="12" t="s">
        <v>13</v>
      </c>
      <c r="F25" s="19" t="s">
        <v>149</v>
      </c>
      <c r="G25" s="19" t="s">
        <v>150</v>
      </c>
      <c r="H25" s="6" t="s">
        <v>151</v>
      </c>
    </row>
    <row r="26" customFormat="false" ht="15" hidden="false" customHeight="false" outlineLevel="0" collapsed="false">
      <c r="A26" s="7" t="s">
        <v>152</v>
      </c>
      <c r="B26" s="19" t="s">
        <v>138</v>
      </c>
      <c r="C26" s="6" t="s">
        <v>153</v>
      </c>
      <c r="D26" s="6" t="s">
        <v>154</v>
      </c>
      <c r="E26" s="14" t="s">
        <v>14</v>
      </c>
      <c r="F26" s="19" t="s">
        <v>141</v>
      </c>
      <c r="G26" s="6" t="s">
        <v>76</v>
      </c>
      <c r="H26" s="6" t="s">
        <v>155</v>
      </c>
    </row>
    <row r="27" customFormat="false" ht="15" hidden="false" customHeight="false" outlineLevel="0" collapsed="false">
      <c r="A27" s="7" t="s">
        <v>156</v>
      </c>
      <c r="B27" s="19" t="s">
        <v>138</v>
      </c>
      <c r="C27" s="6" t="s">
        <v>157</v>
      </c>
      <c r="D27" s="6" t="s">
        <v>158</v>
      </c>
      <c r="E27" s="12" t="s">
        <v>13</v>
      </c>
      <c r="F27" s="19" t="s">
        <v>141</v>
      </c>
      <c r="G27" s="6" t="s">
        <v>76</v>
      </c>
      <c r="H27" s="6" t="s">
        <v>159</v>
      </c>
    </row>
    <row r="28" customFormat="false" ht="23.85" hidden="false" customHeight="false" outlineLevel="0" collapsed="false">
      <c r="A28" s="20" t="s">
        <v>160</v>
      </c>
      <c r="B28" s="19" t="s">
        <v>138</v>
      </c>
      <c r="C28" s="6" t="s">
        <v>161</v>
      </c>
      <c r="D28" s="6" t="s">
        <v>162</v>
      </c>
      <c r="E28" s="12" t="s">
        <v>13</v>
      </c>
      <c r="F28" s="19" t="s">
        <v>163</v>
      </c>
      <c r="G28" s="6" t="s">
        <v>164</v>
      </c>
      <c r="H28" s="6" t="s">
        <v>165</v>
      </c>
    </row>
    <row r="29" customFormat="false" ht="15" hidden="false" customHeight="false" outlineLevel="0" collapsed="false">
      <c r="A29" s="16" t="s">
        <v>166</v>
      </c>
      <c r="B29" s="17" t="s">
        <v>167</v>
      </c>
      <c r="C29" s="18" t="s">
        <v>168</v>
      </c>
      <c r="D29" s="18" t="s">
        <v>169</v>
      </c>
      <c r="E29" s="12" t="s">
        <v>13</v>
      </c>
      <c r="F29" s="17" t="s">
        <v>170</v>
      </c>
      <c r="G29" s="18" t="s">
        <v>76</v>
      </c>
      <c r="H29" s="17"/>
    </row>
    <row r="30" customFormat="false" ht="15" hidden="false" customHeight="false" outlineLevel="0" collapsed="false">
      <c r="A30" s="7" t="s">
        <v>171</v>
      </c>
      <c r="B30" s="19" t="s">
        <v>167</v>
      </c>
      <c r="C30" s="6" t="s">
        <v>172</v>
      </c>
      <c r="D30" s="6" t="s">
        <v>173</v>
      </c>
      <c r="E30" s="12" t="s">
        <v>13</v>
      </c>
      <c r="F30" s="19" t="s">
        <v>170</v>
      </c>
      <c r="G30" s="6" t="s">
        <v>174</v>
      </c>
      <c r="H30" s="19"/>
    </row>
    <row r="31" customFormat="false" ht="15" hidden="false" customHeight="false" outlineLevel="0" collapsed="false">
      <c r="A31" s="7" t="s">
        <v>175</v>
      </c>
      <c r="B31" s="19" t="s">
        <v>167</v>
      </c>
      <c r="C31" s="6" t="s">
        <v>176</v>
      </c>
      <c r="D31" s="6" t="s">
        <v>177</v>
      </c>
      <c r="E31" s="12" t="s">
        <v>13</v>
      </c>
      <c r="F31" s="19" t="s">
        <v>178</v>
      </c>
      <c r="G31" s="19" t="s">
        <v>42</v>
      </c>
      <c r="H31" s="19" t="s">
        <v>179</v>
      </c>
    </row>
    <row r="32" customFormat="false" ht="15" hidden="false" customHeight="false" outlineLevel="0" collapsed="false">
      <c r="A32" s="7" t="s">
        <v>180</v>
      </c>
      <c r="B32" s="19" t="s">
        <v>167</v>
      </c>
      <c r="C32" s="6" t="s">
        <v>65</v>
      </c>
      <c r="D32" s="6" t="s">
        <v>181</v>
      </c>
      <c r="E32" s="12" t="s">
        <v>13</v>
      </c>
      <c r="F32" s="19" t="s">
        <v>182</v>
      </c>
      <c r="G32" s="6" t="s">
        <v>76</v>
      </c>
      <c r="H32" s="19"/>
    </row>
    <row r="33" customFormat="false" ht="35.05" hidden="false" customHeight="false" outlineLevel="0" collapsed="false">
      <c r="A33" s="7" t="s">
        <v>183</v>
      </c>
      <c r="B33" s="19" t="s">
        <v>167</v>
      </c>
      <c r="C33" s="6" t="s">
        <v>184</v>
      </c>
      <c r="D33" s="6" t="s">
        <v>185</v>
      </c>
      <c r="E33" s="12" t="s">
        <v>13</v>
      </c>
      <c r="F33" s="19" t="s">
        <v>186</v>
      </c>
      <c r="G33" s="6" t="s">
        <v>187</v>
      </c>
      <c r="H33" s="19" t="s">
        <v>188</v>
      </c>
    </row>
    <row r="34" customFormat="false" ht="15" hidden="false" customHeight="false" outlineLevel="0" collapsed="false">
      <c r="A34" s="7" t="s">
        <v>189</v>
      </c>
      <c r="B34" s="19" t="s">
        <v>167</v>
      </c>
      <c r="C34" s="6" t="s">
        <v>190</v>
      </c>
      <c r="D34" s="6" t="s">
        <v>191</v>
      </c>
      <c r="E34" s="12" t="s">
        <v>13</v>
      </c>
      <c r="F34" s="19" t="s">
        <v>192</v>
      </c>
      <c r="G34" s="6" t="s">
        <v>76</v>
      </c>
      <c r="H34" s="6" t="s">
        <v>193</v>
      </c>
    </row>
    <row r="35" customFormat="false" ht="23.85" hidden="false" customHeight="false" outlineLevel="0" collapsed="false">
      <c r="A35" s="7" t="s">
        <v>194</v>
      </c>
      <c r="B35" s="19" t="s">
        <v>167</v>
      </c>
      <c r="C35" s="6" t="s">
        <v>195</v>
      </c>
      <c r="D35" s="6" t="s">
        <v>196</v>
      </c>
      <c r="E35" s="12" t="s">
        <v>13</v>
      </c>
      <c r="F35" s="19" t="s">
        <v>197</v>
      </c>
      <c r="G35" s="19" t="s">
        <v>42</v>
      </c>
      <c r="H35" s="6" t="s">
        <v>198</v>
      </c>
    </row>
    <row r="36" customFormat="false" ht="15" hidden="false" customHeight="false" outlineLevel="0" collapsed="false">
      <c r="A36" s="16" t="s">
        <v>199</v>
      </c>
      <c r="B36" s="17" t="s">
        <v>200</v>
      </c>
      <c r="C36" s="18" t="s">
        <v>201</v>
      </c>
      <c r="D36" s="18" t="s">
        <v>202</v>
      </c>
      <c r="E36" s="12" t="s">
        <v>13</v>
      </c>
      <c r="F36" s="17" t="s">
        <v>203</v>
      </c>
      <c r="G36" s="18" t="s">
        <v>204</v>
      </c>
      <c r="H36" s="17"/>
    </row>
    <row r="37" customFormat="false" ht="15" hidden="false" customHeight="false" outlineLevel="0" collapsed="false">
      <c r="A37" s="7" t="s">
        <v>205</v>
      </c>
      <c r="B37" s="19" t="s">
        <v>200</v>
      </c>
      <c r="C37" s="6" t="s">
        <v>206</v>
      </c>
      <c r="D37" s="6" t="s">
        <v>207</v>
      </c>
      <c r="E37" s="12" t="s">
        <v>13</v>
      </c>
      <c r="F37" s="19" t="s">
        <v>208</v>
      </c>
      <c r="G37" s="6" t="s">
        <v>76</v>
      </c>
      <c r="H37" s="19"/>
    </row>
    <row r="38" customFormat="false" ht="15" hidden="false" customHeight="false" outlineLevel="0" collapsed="false">
      <c r="A38" s="7" t="s">
        <v>209</v>
      </c>
      <c r="B38" s="19" t="s">
        <v>200</v>
      </c>
      <c r="C38" s="6" t="s">
        <v>210</v>
      </c>
      <c r="D38" s="6" t="s">
        <v>211</v>
      </c>
      <c r="E38" s="12" t="s">
        <v>13</v>
      </c>
      <c r="F38" s="6" t="s">
        <v>212</v>
      </c>
      <c r="G38" s="6" t="s">
        <v>204</v>
      </c>
      <c r="H38" s="6" t="s">
        <v>213</v>
      </c>
    </row>
    <row r="39" customFormat="false" ht="15" hidden="false" customHeight="false" outlineLevel="0" collapsed="false">
      <c r="A39" s="7" t="s">
        <v>214</v>
      </c>
      <c r="B39" s="19" t="s">
        <v>200</v>
      </c>
      <c r="C39" s="6" t="s">
        <v>215</v>
      </c>
      <c r="D39" s="6" t="s">
        <v>216</v>
      </c>
      <c r="E39" s="12" t="s">
        <v>13</v>
      </c>
      <c r="F39" s="6" t="s">
        <v>217</v>
      </c>
      <c r="G39" s="6" t="s">
        <v>204</v>
      </c>
      <c r="H39" s="19"/>
    </row>
    <row r="40" customFormat="false" ht="15" hidden="false" customHeight="false" outlineLevel="0" collapsed="false">
      <c r="A40" s="7" t="s">
        <v>218</v>
      </c>
      <c r="B40" s="19" t="s">
        <v>200</v>
      </c>
      <c r="C40" s="6" t="s">
        <v>219</v>
      </c>
      <c r="D40" s="6" t="s">
        <v>220</v>
      </c>
      <c r="E40" s="12" t="s">
        <v>13</v>
      </c>
      <c r="F40" s="6" t="s">
        <v>217</v>
      </c>
      <c r="G40" s="6" t="s">
        <v>204</v>
      </c>
      <c r="H40" s="6" t="s">
        <v>221</v>
      </c>
    </row>
    <row r="41" customFormat="false" ht="15" hidden="false" customHeight="false" outlineLevel="0" collapsed="false">
      <c r="A41" s="7" t="s">
        <v>222</v>
      </c>
      <c r="B41" s="19" t="s">
        <v>200</v>
      </c>
      <c r="C41" s="6" t="s">
        <v>223</v>
      </c>
      <c r="D41" s="6" t="s">
        <v>224</v>
      </c>
      <c r="E41" s="12" t="s">
        <v>13</v>
      </c>
      <c r="F41" s="19" t="s">
        <v>225</v>
      </c>
      <c r="G41" s="19" t="s">
        <v>226</v>
      </c>
      <c r="H41" s="19" t="s">
        <v>227</v>
      </c>
    </row>
    <row r="42" customFormat="false" ht="15" hidden="false" customHeight="false" outlineLevel="0" collapsed="false">
      <c r="A42" s="7" t="s">
        <v>228</v>
      </c>
      <c r="B42" s="19" t="s">
        <v>200</v>
      </c>
      <c r="C42" s="6" t="s">
        <v>229</v>
      </c>
      <c r="D42" s="6" t="s">
        <v>230</v>
      </c>
      <c r="E42" s="12" t="s">
        <v>13</v>
      </c>
      <c r="F42" s="6" t="s">
        <v>231</v>
      </c>
      <c r="G42" s="6" t="s">
        <v>76</v>
      </c>
      <c r="H42" s="19"/>
    </row>
    <row r="43" customFormat="false" ht="15" hidden="false" customHeight="false" outlineLevel="0" collapsed="false">
      <c r="A43" s="7" t="s">
        <v>232</v>
      </c>
      <c r="B43" s="19" t="s">
        <v>200</v>
      </c>
      <c r="C43" s="6" t="s">
        <v>233</v>
      </c>
      <c r="D43" s="6" t="s">
        <v>234</v>
      </c>
      <c r="E43" s="12" t="s">
        <v>13</v>
      </c>
      <c r="F43" s="6" t="s">
        <v>235</v>
      </c>
      <c r="G43" s="6" t="s">
        <v>76</v>
      </c>
      <c r="H43" s="19"/>
    </row>
    <row r="44" customFormat="false" ht="15" hidden="false" customHeight="false" outlineLevel="0" collapsed="false">
      <c r="A44" s="7" t="s">
        <v>236</v>
      </c>
      <c r="B44" s="19" t="s">
        <v>200</v>
      </c>
      <c r="C44" s="6" t="s">
        <v>237</v>
      </c>
      <c r="D44" s="6" t="s">
        <v>238</v>
      </c>
      <c r="E44" s="12" t="s">
        <v>13</v>
      </c>
      <c r="F44" s="19" t="s">
        <v>197</v>
      </c>
      <c r="G44" s="19" t="s">
        <v>42</v>
      </c>
      <c r="H44" s="19"/>
    </row>
    <row r="45" customFormat="false" ht="23.85" hidden="false" customHeight="false" outlineLevel="0" collapsed="false">
      <c r="A45" s="20" t="s">
        <v>239</v>
      </c>
      <c r="B45" s="19" t="s">
        <v>200</v>
      </c>
      <c r="C45" s="6" t="s">
        <v>240</v>
      </c>
      <c r="D45" s="6" t="s">
        <v>241</v>
      </c>
      <c r="E45" s="12" t="s">
        <v>13</v>
      </c>
      <c r="F45" s="19" t="s">
        <v>242</v>
      </c>
      <c r="G45" s="6" t="s">
        <v>243</v>
      </c>
      <c r="H45" s="6" t="s">
        <v>244</v>
      </c>
    </row>
    <row r="46" customFormat="false" ht="15" hidden="false" customHeight="false" outlineLevel="0" collapsed="false">
      <c r="A46" s="20" t="s">
        <v>245</v>
      </c>
      <c r="B46" s="19" t="s">
        <v>200</v>
      </c>
      <c r="C46" s="6" t="s">
        <v>246</v>
      </c>
      <c r="D46" s="6" t="s">
        <v>247</v>
      </c>
      <c r="E46" s="12" t="s">
        <v>13</v>
      </c>
      <c r="F46" s="19" t="s">
        <v>248</v>
      </c>
      <c r="G46" s="6" t="s">
        <v>204</v>
      </c>
      <c r="H46" s="6" t="s">
        <v>249</v>
      </c>
    </row>
    <row r="47" customFormat="false" ht="15" hidden="false" customHeight="false" outlineLevel="0" collapsed="false">
      <c r="A47" s="16" t="s">
        <v>250</v>
      </c>
      <c r="B47" s="17" t="s">
        <v>251</v>
      </c>
      <c r="C47" s="18" t="s">
        <v>252</v>
      </c>
      <c r="D47" s="18" t="s">
        <v>253</v>
      </c>
      <c r="E47" s="12" t="s">
        <v>13</v>
      </c>
      <c r="F47" s="17" t="s">
        <v>254</v>
      </c>
      <c r="G47" s="18" t="s">
        <v>76</v>
      </c>
      <c r="H47" s="17"/>
    </row>
    <row r="48" customFormat="false" ht="15" hidden="false" customHeight="false" outlineLevel="0" collapsed="false">
      <c r="A48" s="7" t="s">
        <v>255</v>
      </c>
      <c r="B48" s="19" t="s">
        <v>251</v>
      </c>
      <c r="C48" s="6" t="s">
        <v>256</v>
      </c>
      <c r="D48" s="6" t="s">
        <v>257</v>
      </c>
      <c r="E48" s="12" t="s">
        <v>13</v>
      </c>
      <c r="F48" s="19" t="s">
        <v>254</v>
      </c>
      <c r="G48" s="6" t="s">
        <v>174</v>
      </c>
      <c r="H48" s="19"/>
    </row>
    <row r="49" customFormat="false" ht="15" hidden="false" customHeight="false" outlineLevel="0" collapsed="false">
      <c r="A49" s="7" t="s">
        <v>258</v>
      </c>
      <c r="B49" s="19" t="s">
        <v>251</v>
      </c>
      <c r="C49" s="6" t="s">
        <v>259</v>
      </c>
      <c r="D49" s="6" t="s">
        <v>260</v>
      </c>
      <c r="E49" s="12" t="s">
        <v>13</v>
      </c>
      <c r="F49" s="19" t="s">
        <v>261</v>
      </c>
      <c r="G49" s="19" t="s">
        <v>262</v>
      </c>
      <c r="H49" s="19"/>
    </row>
    <row r="50" customFormat="false" ht="15" hidden="false" customHeight="false" outlineLevel="0" collapsed="false">
      <c r="A50" s="7" t="s">
        <v>263</v>
      </c>
      <c r="B50" s="19" t="s">
        <v>251</v>
      </c>
      <c r="C50" s="6" t="s">
        <v>264</v>
      </c>
      <c r="D50" s="6" t="s">
        <v>265</v>
      </c>
      <c r="E50" s="14" t="s">
        <v>14</v>
      </c>
      <c r="F50" s="6" t="s">
        <v>266</v>
      </c>
      <c r="G50" s="6" t="s">
        <v>76</v>
      </c>
      <c r="H50" s="6" t="s">
        <v>267</v>
      </c>
    </row>
    <row r="51" customFormat="false" ht="15" hidden="false" customHeight="false" outlineLevel="0" collapsed="false">
      <c r="A51" s="7" t="s">
        <v>268</v>
      </c>
      <c r="B51" s="19" t="s">
        <v>251</v>
      </c>
      <c r="C51" s="6" t="s">
        <v>65</v>
      </c>
      <c r="D51" s="6" t="s">
        <v>269</v>
      </c>
      <c r="E51" s="12" t="s">
        <v>13</v>
      </c>
      <c r="F51" s="19" t="s">
        <v>270</v>
      </c>
      <c r="G51" s="6" t="s">
        <v>76</v>
      </c>
      <c r="H51" s="19"/>
    </row>
    <row r="52" customFormat="false" ht="15" hidden="false" customHeight="false" outlineLevel="0" collapsed="false">
      <c r="A52" s="7" t="s">
        <v>271</v>
      </c>
      <c r="B52" s="19" t="s">
        <v>251</v>
      </c>
      <c r="C52" s="6" t="s">
        <v>272</v>
      </c>
      <c r="D52" s="6" t="s">
        <v>273</v>
      </c>
      <c r="E52" s="12" t="s">
        <v>13</v>
      </c>
      <c r="F52" s="6" t="s">
        <v>274</v>
      </c>
      <c r="G52" s="19" t="s">
        <v>136</v>
      </c>
      <c r="H52" s="19"/>
    </row>
    <row r="53" customFormat="false" ht="15" hidden="false" customHeight="false" outlineLevel="0" collapsed="false">
      <c r="A53" s="16" t="s">
        <v>275</v>
      </c>
      <c r="B53" s="17" t="s">
        <v>276</v>
      </c>
      <c r="C53" s="18" t="s">
        <v>277</v>
      </c>
      <c r="D53" s="18" t="s">
        <v>278</v>
      </c>
      <c r="E53" s="12" t="s">
        <v>13</v>
      </c>
      <c r="F53" s="17" t="s">
        <v>279</v>
      </c>
      <c r="G53" s="17" t="s">
        <v>280</v>
      </c>
      <c r="H53" s="17"/>
    </row>
    <row r="54" customFormat="false" ht="15" hidden="false" customHeight="false" outlineLevel="0" collapsed="false">
      <c r="A54" s="7" t="s">
        <v>281</v>
      </c>
      <c r="B54" s="19" t="s">
        <v>276</v>
      </c>
      <c r="C54" s="6" t="s">
        <v>282</v>
      </c>
      <c r="D54" s="6" t="s">
        <v>283</v>
      </c>
      <c r="E54" s="12" t="s">
        <v>13</v>
      </c>
      <c r="F54" s="19" t="s">
        <v>284</v>
      </c>
      <c r="G54" s="6" t="s">
        <v>285</v>
      </c>
      <c r="H54" s="19" t="s">
        <v>286</v>
      </c>
    </row>
    <row r="55" customFormat="false" ht="15" hidden="false" customHeight="false" outlineLevel="0" collapsed="false">
      <c r="A55" s="7" t="s">
        <v>287</v>
      </c>
      <c r="B55" s="19" t="s">
        <v>276</v>
      </c>
      <c r="C55" s="6" t="s">
        <v>288</v>
      </c>
      <c r="D55" s="6" t="s">
        <v>289</v>
      </c>
      <c r="E55" s="12" t="s">
        <v>13</v>
      </c>
      <c r="F55" s="19" t="s">
        <v>290</v>
      </c>
      <c r="G55" s="6" t="s">
        <v>291</v>
      </c>
      <c r="H55" s="19"/>
    </row>
    <row r="56" customFormat="false" ht="15" hidden="false" customHeight="false" outlineLevel="0" collapsed="false">
      <c r="A56" s="7" t="s">
        <v>292</v>
      </c>
      <c r="B56" s="19" t="s">
        <v>276</v>
      </c>
      <c r="C56" s="6" t="s">
        <v>293</v>
      </c>
      <c r="D56" s="6" t="s">
        <v>294</v>
      </c>
      <c r="E56" s="12" t="s">
        <v>13</v>
      </c>
      <c r="F56" s="19" t="s">
        <v>295</v>
      </c>
      <c r="G56" s="19" t="s">
        <v>296</v>
      </c>
      <c r="H56" s="6" t="s">
        <v>297</v>
      </c>
    </row>
    <row r="57" customFormat="false" ht="15" hidden="false" customHeight="false" outlineLevel="0" collapsed="false">
      <c r="A57" s="7" t="s">
        <v>298</v>
      </c>
      <c r="B57" s="19" t="s">
        <v>276</v>
      </c>
      <c r="C57" s="6" t="s">
        <v>299</v>
      </c>
      <c r="D57" s="6" t="s">
        <v>300</v>
      </c>
      <c r="E57" s="12" t="s">
        <v>13</v>
      </c>
      <c r="F57" s="19" t="s">
        <v>301</v>
      </c>
      <c r="G57" s="6" t="s">
        <v>302</v>
      </c>
      <c r="H57" s="19"/>
    </row>
    <row r="58" customFormat="false" ht="15" hidden="false" customHeight="false" outlineLevel="0" collapsed="false">
      <c r="A58" s="7" t="s">
        <v>303</v>
      </c>
      <c r="B58" s="19" t="s">
        <v>276</v>
      </c>
      <c r="C58" s="6" t="s">
        <v>304</v>
      </c>
      <c r="D58" s="6" t="s">
        <v>305</v>
      </c>
      <c r="E58" s="14" t="s">
        <v>14</v>
      </c>
      <c r="F58" s="6" t="s">
        <v>306</v>
      </c>
      <c r="G58" s="6" t="s">
        <v>76</v>
      </c>
      <c r="H58" s="6" t="s">
        <v>307</v>
      </c>
    </row>
    <row r="59" customFormat="false" ht="35.05" hidden="false" customHeight="false" outlineLevel="0" collapsed="false">
      <c r="A59" s="7" t="s">
        <v>308</v>
      </c>
      <c r="B59" s="19" t="s">
        <v>276</v>
      </c>
      <c r="C59" s="6" t="s">
        <v>309</v>
      </c>
      <c r="D59" s="6" t="s">
        <v>310</v>
      </c>
      <c r="E59" s="12" t="s">
        <v>13</v>
      </c>
      <c r="F59" s="19" t="s">
        <v>311</v>
      </c>
      <c r="G59" s="6" t="s">
        <v>312</v>
      </c>
      <c r="H59" s="6" t="s">
        <v>313</v>
      </c>
    </row>
    <row r="60" customFormat="false" ht="15" hidden="false" customHeight="false" outlineLevel="0" collapsed="false">
      <c r="A60" s="7" t="s">
        <v>314</v>
      </c>
      <c r="B60" s="19" t="s">
        <v>276</v>
      </c>
      <c r="C60" s="6" t="s">
        <v>315</v>
      </c>
      <c r="D60" s="6" t="s">
        <v>316</v>
      </c>
      <c r="E60" s="12" t="s">
        <v>13</v>
      </c>
      <c r="F60" s="19" t="s">
        <v>317</v>
      </c>
      <c r="G60" s="6" t="s">
        <v>318</v>
      </c>
      <c r="H60" s="19" t="s">
        <v>319</v>
      </c>
    </row>
    <row r="61" customFormat="false" ht="15" hidden="false" customHeight="false" outlineLevel="0" collapsed="false">
      <c r="A61" s="7" t="s">
        <v>320</v>
      </c>
      <c r="B61" s="19" t="s">
        <v>276</v>
      </c>
      <c r="C61" s="6" t="s">
        <v>321</v>
      </c>
      <c r="D61" s="6" t="s">
        <v>322</v>
      </c>
      <c r="E61" s="12" t="s">
        <v>13</v>
      </c>
      <c r="F61" s="19" t="s">
        <v>323</v>
      </c>
      <c r="G61" s="6" t="s">
        <v>324</v>
      </c>
      <c r="H61" s="19" t="s">
        <v>325</v>
      </c>
    </row>
    <row r="62" customFormat="false" ht="15" hidden="false" customHeight="false" outlineLevel="0" collapsed="false">
      <c r="A62" s="7" t="s">
        <v>326</v>
      </c>
      <c r="B62" s="19" t="s">
        <v>276</v>
      </c>
      <c r="C62" s="6" t="s">
        <v>327</v>
      </c>
      <c r="D62" s="6" t="s">
        <v>328</v>
      </c>
      <c r="E62" s="12" t="s">
        <v>13</v>
      </c>
      <c r="F62" s="19" t="s">
        <v>329</v>
      </c>
      <c r="G62" s="6" t="s">
        <v>330</v>
      </c>
      <c r="H62" s="19" t="s">
        <v>331</v>
      </c>
    </row>
    <row r="63" customFormat="false" ht="15" hidden="false" customHeight="false" outlineLevel="0" collapsed="false">
      <c r="A63" s="7" t="s">
        <v>332</v>
      </c>
      <c r="B63" s="19" t="s">
        <v>276</v>
      </c>
      <c r="C63" s="6" t="s">
        <v>333</v>
      </c>
      <c r="D63" s="6" t="s">
        <v>334</v>
      </c>
      <c r="E63" s="14" t="s">
        <v>14</v>
      </c>
      <c r="F63" s="6" t="s">
        <v>335</v>
      </c>
      <c r="G63" s="6" t="s">
        <v>121</v>
      </c>
      <c r="H63" s="19" t="s">
        <v>336</v>
      </c>
    </row>
    <row r="64" customFormat="false" ht="15" hidden="false" customHeight="false" outlineLevel="0" collapsed="false">
      <c r="A64" s="7" t="s">
        <v>337</v>
      </c>
      <c r="B64" s="19" t="s">
        <v>276</v>
      </c>
      <c r="C64" s="6" t="s">
        <v>338</v>
      </c>
      <c r="D64" s="6" t="s">
        <v>339</v>
      </c>
      <c r="E64" s="12" t="s">
        <v>13</v>
      </c>
      <c r="F64" s="19" t="s">
        <v>340</v>
      </c>
      <c r="G64" s="6" t="s">
        <v>341</v>
      </c>
      <c r="H64" s="19"/>
    </row>
    <row r="65" customFormat="false" ht="46.25" hidden="false" customHeight="false" outlineLevel="0" collapsed="false">
      <c r="A65" s="20" t="s">
        <v>342</v>
      </c>
      <c r="B65" s="19" t="s">
        <v>276</v>
      </c>
      <c r="C65" s="6" t="s">
        <v>343</v>
      </c>
      <c r="D65" s="6" t="s">
        <v>344</v>
      </c>
      <c r="E65" s="12" t="s">
        <v>13</v>
      </c>
      <c r="F65" s="19" t="s">
        <v>345</v>
      </c>
      <c r="G65" s="6" t="s">
        <v>346</v>
      </c>
      <c r="H65" s="6" t="s">
        <v>347</v>
      </c>
    </row>
    <row r="66" customFormat="false" ht="15" hidden="false" customHeight="false" outlineLevel="0" collapsed="false">
      <c r="A66" s="16" t="s">
        <v>348</v>
      </c>
      <c r="B66" s="17" t="s">
        <v>349</v>
      </c>
      <c r="C66" s="18" t="s">
        <v>350</v>
      </c>
      <c r="D66" s="18" t="s">
        <v>351</v>
      </c>
      <c r="E66" s="12" t="s">
        <v>13</v>
      </c>
      <c r="F66" s="18" t="s">
        <v>352</v>
      </c>
      <c r="G66" s="18" t="s">
        <v>76</v>
      </c>
      <c r="H66" s="17"/>
    </row>
    <row r="67" customFormat="false" ht="15" hidden="false" customHeight="false" outlineLevel="0" collapsed="false">
      <c r="A67" s="7" t="s">
        <v>353</v>
      </c>
      <c r="B67" s="19" t="s">
        <v>349</v>
      </c>
      <c r="C67" s="6" t="s">
        <v>354</v>
      </c>
      <c r="D67" s="6" t="s">
        <v>355</v>
      </c>
      <c r="E67" s="12" t="s">
        <v>13</v>
      </c>
      <c r="F67" s="19" t="s">
        <v>356</v>
      </c>
      <c r="G67" s="19" t="s">
        <v>357</v>
      </c>
      <c r="H67" s="19"/>
    </row>
    <row r="68" customFormat="false" ht="15" hidden="false" customHeight="false" outlineLevel="0" collapsed="false">
      <c r="A68" s="7" t="s">
        <v>358</v>
      </c>
      <c r="B68" s="19" t="s">
        <v>349</v>
      </c>
      <c r="C68" s="6" t="s">
        <v>359</v>
      </c>
      <c r="D68" s="6" t="s">
        <v>360</v>
      </c>
      <c r="E68" s="12" t="s">
        <v>13</v>
      </c>
      <c r="F68" s="19" t="s">
        <v>361</v>
      </c>
      <c r="G68" s="19" t="s">
        <v>362</v>
      </c>
      <c r="H68" s="6" t="s">
        <v>363</v>
      </c>
    </row>
    <row r="69" customFormat="false" ht="15" hidden="false" customHeight="false" outlineLevel="0" collapsed="false">
      <c r="A69" s="7" t="s">
        <v>364</v>
      </c>
      <c r="B69" s="19" t="s">
        <v>349</v>
      </c>
      <c r="C69" s="6" t="s">
        <v>365</v>
      </c>
      <c r="D69" s="6" t="s">
        <v>366</v>
      </c>
      <c r="E69" s="12" t="s">
        <v>13</v>
      </c>
      <c r="F69" s="19" t="s">
        <v>367</v>
      </c>
      <c r="G69" s="6" t="s">
        <v>368</v>
      </c>
      <c r="H69" s="19"/>
    </row>
    <row r="70" customFormat="false" ht="15" hidden="false" customHeight="false" outlineLevel="0" collapsed="false">
      <c r="A70" s="7" t="s">
        <v>369</v>
      </c>
      <c r="B70" s="19" t="s">
        <v>349</v>
      </c>
      <c r="C70" s="6" t="s">
        <v>370</v>
      </c>
      <c r="D70" s="6" t="s">
        <v>371</v>
      </c>
      <c r="E70" s="12" t="s">
        <v>13</v>
      </c>
      <c r="F70" s="19" t="s">
        <v>372</v>
      </c>
      <c r="G70" s="6" t="s">
        <v>76</v>
      </c>
      <c r="H70" s="19"/>
    </row>
    <row r="71" customFormat="false" ht="15" hidden="false" customHeight="false" outlineLevel="0" collapsed="false">
      <c r="A71" s="20" t="s">
        <v>373</v>
      </c>
      <c r="B71" s="19" t="s">
        <v>349</v>
      </c>
      <c r="C71" s="6" t="s">
        <v>374</v>
      </c>
      <c r="D71" s="6" t="s">
        <v>375</v>
      </c>
      <c r="E71" s="14" t="s">
        <v>14</v>
      </c>
      <c r="F71" s="19" t="s">
        <v>376</v>
      </c>
      <c r="G71" s="6" t="s">
        <v>76</v>
      </c>
      <c r="H71" s="6" t="s">
        <v>377</v>
      </c>
    </row>
    <row r="72" customFormat="false" ht="15" hidden="false" customHeight="false" outlineLevel="0" collapsed="false">
      <c r="A72" s="16" t="s">
        <v>378</v>
      </c>
      <c r="B72" s="17" t="s">
        <v>379</v>
      </c>
      <c r="C72" s="18" t="s">
        <v>380</v>
      </c>
      <c r="D72" s="18" t="s">
        <v>381</v>
      </c>
      <c r="E72" s="12" t="s">
        <v>13</v>
      </c>
      <c r="F72" s="17" t="s">
        <v>382</v>
      </c>
      <c r="G72" s="17" t="s">
        <v>383</v>
      </c>
      <c r="H72" s="17"/>
    </row>
    <row r="73" customFormat="false" ht="15" hidden="false" customHeight="false" outlineLevel="0" collapsed="false">
      <c r="A73" s="7" t="s">
        <v>384</v>
      </c>
      <c r="B73" s="19" t="s">
        <v>379</v>
      </c>
      <c r="C73" s="6" t="s">
        <v>385</v>
      </c>
      <c r="D73" s="6" t="s">
        <v>386</v>
      </c>
      <c r="E73" s="12" t="s">
        <v>13</v>
      </c>
      <c r="F73" s="19" t="s">
        <v>387</v>
      </c>
      <c r="G73" s="19" t="s">
        <v>63</v>
      </c>
      <c r="H73" s="6" t="s">
        <v>388</v>
      </c>
    </row>
    <row r="74" customFormat="false" ht="15" hidden="false" customHeight="false" outlineLevel="0" collapsed="false">
      <c r="A74" s="7" t="s">
        <v>389</v>
      </c>
      <c r="B74" s="19" t="s">
        <v>379</v>
      </c>
      <c r="C74" s="6" t="s">
        <v>390</v>
      </c>
      <c r="D74" s="6" t="s">
        <v>391</v>
      </c>
      <c r="E74" s="12" t="s">
        <v>13</v>
      </c>
      <c r="F74" s="19" t="s">
        <v>392</v>
      </c>
      <c r="G74" s="6" t="s">
        <v>76</v>
      </c>
      <c r="H74" s="19"/>
    </row>
    <row r="75" customFormat="false" ht="15" hidden="false" customHeight="false" outlineLevel="0" collapsed="false">
      <c r="A75" s="7" t="s">
        <v>393</v>
      </c>
      <c r="B75" s="19" t="s">
        <v>379</v>
      </c>
      <c r="C75" s="6" t="s">
        <v>394</v>
      </c>
      <c r="D75" s="6" t="s">
        <v>395</v>
      </c>
      <c r="E75" s="12" t="s">
        <v>13</v>
      </c>
      <c r="F75" s="19" t="s">
        <v>396</v>
      </c>
      <c r="G75" s="6" t="s">
        <v>76</v>
      </c>
      <c r="H75" s="19"/>
    </row>
    <row r="76" customFormat="false" ht="15" hidden="false" customHeight="false" outlineLevel="0" collapsed="false">
      <c r="A76" s="7" t="s">
        <v>397</v>
      </c>
      <c r="B76" s="19" t="s">
        <v>379</v>
      </c>
      <c r="C76" s="6" t="s">
        <v>359</v>
      </c>
      <c r="D76" s="6" t="s">
        <v>398</v>
      </c>
      <c r="E76" s="12" t="s">
        <v>13</v>
      </c>
      <c r="F76" s="19" t="s">
        <v>399</v>
      </c>
      <c r="G76" s="6" t="s">
        <v>76</v>
      </c>
      <c r="H76" s="19"/>
    </row>
    <row r="77" customFormat="false" ht="15" hidden="false" customHeight="false" outlineLevel="0" collapsed="false">
      <c r="A77" s="7" t="s">
        <v>400</v>
      </c>
      <c r="B77" s="19" t="s">
        <v>379</v>
      </c>
      <c r="C77" s="6" t="s">
        <v>401</v>
      </c>
      <c r="D77" s="6" t="s">
        <v>402</v>
      </c>
      <c r="E77" s="12" t="s">
        <v>13</v>
      </c>
      <c r="F77" s="19" t="s">
        <v>403</v>
      </c>
      <c r="G77" s="6" t="s">
        <v>76</v>
      </c>
      <c r="H77" s="19" t="s">
        <v>404</v>
      </c>
    </row>
  </sheetData>
  <autoFilter ref="A1:H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15.02"/>
    <col collapsed="false" customWidth="true" hidden="false" outlineLevel="0" max="3" min="3" style="0" width="16.69"/>
    <col collapsed="false" customWidth="true" hidden="false" outlineLevel="0" max="4" min="4" style="0" width="25.04"/>
    <col collapsed="false" customWidth="true" hidden="false" outlineLevel="0" max="5" min="5" style="0" width="9.18"/>
    <col collapsed="false" customWidth="true" hidden="false" outlineLevel="0" max="6" min="6" style="0" width="26.71"/>
    <col collapsed="false" customWidth="true" hidden="false" outlineLevel="0" max="7" min="7" style="0" width="25.04"/>
    <col collapsed="false" customWidth="true" hidden="false" outlineLevel="0" max="8" min="8" style="0" width="31.71"/>
  </cols>
  <sheetData>
    <row r="1" customFormat="false" ht="23.85" hidden="false" customHeight="fals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customFormat="false" ht="23.85" hidden="false" customHeight="false" outlineLevel="0" collapsed="false">
      <c r="A2" s="16" t="s">
        <v>405</v>
      </c>
      <c r="B2" s="18" t="s">
        <v>406</v>
      </c>
      <c r="C2" s="18" t="s">
        <v>407</v>
      </c>
      <c r="D2" s="18" t="s">
        <v>408</v>
      </c>
      <c r="E2" s="14" t="s">
        <v>14</v>
      </c>
      <c r="F2" s="17" t="s">
        <v>409</v>
      </c>
      <c r="G2" s="18" t="s">
        <v>410</v>
      </c>
      <c r="H2" s="18" t="s">
        <v>411</v>
      </c>
    </row>
    <row r="3" customFormat="false" ht="15" hidden="false" customHeight="false" outlineLevel="0" collapsed="false">
      <c r="A3" s="7" t="s">
        <v>412</v>
      </c>
      <c r="B3" s="6" t="s">
        <v>406</v>
      </c>
      <c r="C3" s="6" t="s">
        <v>413</v>
      </c>
      <c r="D3" s="6" t="s">
        <v>414</v>
      </c>
      <c r="E3" s="12" t="s">
        <v>13</v>
      </c>
      <c r="F3" s="19" t="s">
        <v>415</v>
      </c>
      <c r="G3" s="6" t="s">
        <v>416</v>
      </c>
      <c r="H3" s="19"/>
    </row>
    <row r="4" customFormat="false" ht="15" hidden="false" customHeight="false" outlineLevel="0" collapsed="false">
      <c r="A4" s="7" t="s">
        <v>417</v>
      </c>
      <c r="B4" s="6" t="s">
        <v>406</v>
      </c>
      <c r="C4" s="6" t="s">
        <v>418</v>
      </c>
      <c r="D4" s="6" t="s">
        <v>419</v>
      </c>
      <c r="E4" s="12" t="s">
        <v>13</v>
      </c>
      <c r="F4" s="6" t="s">
        <v>420</v>
      </c>
      <c r="G4" s="6" t="s">
        <v>421</v>
      </c>
      <c r="H4" s="19"/>
    </row>
    <row r="5" customFormat="false" ht="15" hidden="false" customHeight="false" outlineLevel="0" collapsed="false">
      <c r="A5" s="7" t="s">
        <v>422</v>
      </c>
      <c r="B5" s="6" t="s">
        <v>406</v>
      </c>
      <c r="C5" s="6" t="s">
        <v>423</v>
      </c>
      <c r="D5" s="6" t="s">
        <v>424</v>
      </c>
      <c r="E5" s="12" t="s">
        <v>13</v>
      </c>
      <c r="F5" s="19" t="s">
        <v>387</v>
      </c>
      <c r="G5" s="6" t="s">
        <v>410</v>
      </c>
      <c r="H5" s="19"/>
    </row>
    <row r="6" customFormat="false" ht="15" hidden="false" customHeight="false" outlineLevel="0" collapsed="false">
      <c r="A6" s="7" t="s">
        <v>425</v>
      </c>
      <c r="B6" s="6" t="s">
        <v>406</v>
      </c>
      <c r="C6" s="6" t="s">
        <v>426</v>
      </c>
      <c r="D6" s="6" t="s">
        <v>427</v>
      </c>
      <c r="E6" s="14" t="s">
        <v>14</v>
      </c>
      <c r="F6" s="19" t="s">
        <v>428</v>
      </c>
      <c r="G6" s="6" t="s">
        <v>121</v>
      </c>
      <c r="H6" s="6" t="s">
        <v>429</v>
      </c>
    </row>
    <row r="7" customFormat="false" ht="15" hidden="false" customHeight="false" outlineLevel="0" collapsed="false">
      <c r="A7" s="16" t="s">
        <v>430</v>
      </c>
      <c r="B7" s="18" t="s">
        <v>431</v>
      </c>
      <c r="C7" s="18" t="s">
        <v>81</v>
      </c>
      <c r="D7" s="18" t="s">
        <v>432</v>
      </c>
      <c r="E7" s="12" t="s">
        <v>13</v>
      </c>
      <c r="F7" s="17" t="s">
        <v>433</v>
      </c>
      <c r="G7" s="17" t="s">
        <v>42</v>
      </c>
      <c r="H7" s="17"/>
    </row>
    <row r="8" customFormat="false" ht="15" hidden="false" customHeight="false" outlineLevel="0" collapsed="false">
      <c r="A8" s="7" t="s">
        <v>434</v>
      </c>
      <c r="B8" s="6" t="s">
        <v>431</v>
      </c>
      <c r="C8" s="6" t="s">
        <v>435</v>
      </c>
      <c r="D8" s="6" t="s">
        <v>436</v>
      </c>
      <c r="E8" s="12" t="s">
        <v>13</v>
      </c>
      <c r="F8" s="19" t="s">
        <v>437</v>
      </c>
      <c r="G8" s="6" t="s">
        <v>121</v>
      </c>
      <c r="H8" s="19"/>
    </row>
    <row r="9" customFormat="false" ht="15" hidden="false" customHeight="false" outlineLevel="0" collapsed="false">
      <c r="A9" s="7" t="s">
        <v>438</v>
      </c>
      <c r="B9" s="6" t="s">
        <v>431</v>
      </c>
      <c r="C9" s="6" t="s">
        <v>439</v>
      </c>
      <c r="D9" s="6" t="s">
        <v>440</v>
      </c>
      <c r="E9" s="15" t="s">
        <v>15</v>
      </c>
      <c r="F9" s="19" t="s">
        <v>115</v>
      </c>
      <c r="G9" s="19" t="s">
        <v>115</v>
      </c>
      <c r="H9" s="6" t="s">
        <v>441</v>
      </c>
    </row>
    <row r="10" customFormat="false" ht="23.85" hidden="false" customHeight="false" outlineLevel="0" collapsed="false">
      <c r="A10" s="7" t="s">
        <v>442</v>
      </c>
      <c r="B10" s="6" t="s">
        <v>431</v>
      </c>
      <c r="C10" s="6" t="s">
        <v>443</v>
      </c>
      <c r="D10" s="6" t="s">
        <v>444</v>
      </c>
      <c r="E10" s="14" t="s">
        <v>14</v>
      </c>
      <c r="F10" s="6" t="s">
        <v>445</v>
      </c>
      <c r="G10" s="6" t="s">
        <v>121</v>
      </c>
      <c r="H10" s="19" t="s">
        <v>446</v>
      </c>
    </row>
    <row r="11" customFormat="false" ht="23.85" hidden="false" customHeight="false" outlineLevel="0" collapsed="false">
      <c r="A11" s="7" t="s">
        <v>447</v>
      </c>
      <c r="B11" s="6" t="s">
        <v>431</v>
      </c>
      <c r="C11" s="6" t="s">
        <v>448</v>
      </c>
      <c r="D11" s="6" t="s">
        <v>449</v>
      </c>
      <c r="E11" s="14" t="s">
        <v>14</v>
      </c>
      <c r="F11" s="19" t="s">
        <v>450</v>
      </c>
      <c r="G11" s="6" t="s">
        <v>451</v>
      </c>
      <c r="H11" s="6" t="s">
        <v>452</v>
      </c>
    </row>
    <row r="12" customFormat="false" ht="15" hidden="false" customHeight="false" outlineLevel="0" collapsed="false">
      <c r="A12" s="7" t="s">
        <v>453</v>
      </c>
      <c r="B12" s="6" t="s">
        <v>431</v>
      </c>
      <c r="C12" s="6" t="s">
        <v>454</v>
      </c>
      <c r="D12" s="6" t="s">
        <v>455</v>
      </c>
      <c r="E12" s="12" t="s">
        <v>13</v>
      </c>
      <c r="F12" s="19" t="s">
        <v>456</v>
      </c>
      <c r="G12" s="6" t="s">
        <v>330</v>
      </c>
      <c r="H12" s="6" t="s">
        <v>457</v>
      </c>
    </row>
    <row r="13" customFormat="false" ht="23.85" hidden="false" customHeight="false" outlineLevel="0" collapsed="false">
      <c r="A13" s="7" t="s">
        <v>458</v>
      </c>
      <c r="B13" s="6" t="s">
        <v>431</v>
      </c>
      <c r="C13" s="6" t="s">
        <v>459</v>
      </c>
      <c r="D13" s="6" t="s">
        <v>460</v>
      </c>
      <c r="E13" s="12" t="s">
        <v>13</v>
      </c>
      <c r="F13" s="19" t="s">
        <v>461</v>
      </c>
      <c r="G13" s="6" t="s">
        <v>462</v>
      </c>
      <c r="H13" s="6" t="s">
        <v>463</v>
      </c>
    </row>
    <row r="14" customFormat="false" ht="15" hidden="false" customHeight="false" outlineLevel="0" collapsed="false">
      <c r="A14" s="7" t="s">
        <v>464</v>
      </c>
      <c r="B14" s="6" t="s">
        <v>431</v>
      </c>
      <c r="C14" s="6" t="s">
        <v>465</v>
      </c>
      <c r="D14" s="6" t="s">
        <v>466</v>
      </c>
      <c r="E14" s="14" t="s">
        <v>14</v>
      </c>
      <c r="F14" s="19" t="s">
        <v>467</v>
      </c>
      <c r="G14" s="6" t="s">
        <v>121</v>
      </c>
      <c r="H14" s="6" t="s">
        <v>468</v>
      </c>
    </row>
    <row r="15" customFormat="false" ht="15" hidden="false" customHeight="false" outlineLevel="0" collapsed="false">
      <c r="A15" s="16" t="s">
        <v>469</v>
      </c>
      <c r="B15" s="18" t="s">
        <v>470</v>
      </c>
      <c r="C15" s="18" t="s">
        <v>471</v>
      </c>
      <c r="D15" s="18" t="s">
        <v>472</v>
      </c>
      <c r="E15" s="12" t="s">
        <v>13</v>
      </c>
      <c r="F15" s="18" t="s">
        <v>473</v>
      </c>
      <c r="G15" s="18" t="s">
        <v>474</v>
      </c>
      <c r="H15" s="17"/>
    </row>
    <row r="16" customFormat="false" ht="15" hidden="false" customHeight="false" outlineLevel="0" collapsed="false">
      <c r="A16" s="7" t="s">
        <v>475</v>
      </c>
      <c r="B16" s="6" t="s">
        <v>470</v>
      </c>
      <c r="C16" s="6" t="s">
        <v>476</v>
      </c>
      <c r="D16" s="6" t="s">
        <v>477</v>
      </c>
      <c r="E16" s="12" t="s">
        <v>13</v>
      </c>
      <c r="F16" s="19" t="s">
        <v>478</v>
      </c>
      <c r="G16" s="6" t="s">
        <v>121</v>
      </c>
      <c r="H16" s="19"/>
    </row>
    <row r="17" customFormat="false" ht="15" hidden="false" customHeight="false" outlineLevel="0" collapsed="false">
      <c r="A17" s="7" t="s">
        <v>479</v>
      </c>
      <c r="B17" s="6" t="s">
        <v>470</v>
      </c>
      <c r="C17" s="6" t="s">
        <v>480</v>
      </c>
      <c r="D17" s="6" t="s">
        <v>481</v>
      </c>
      <c r="E17" s="12" t="s">
        <v>13</v>
      </c>
      <c r="F17" s="6" t="s">
        <v>482</v>
      </c>
      <c r="G17" s="19" t="s">
        <v>63</v>
      </c>
      <c r="H17" s="19"/>
    </row>
    <row r="18" customFormat="false" ht="15" hidden="false" customHeight="false" outlineLevel="0" collapsed="false">
      <c r="A18" s="7" t="s">
        <v>483</v>
      </c>
      <c r="B18" s="6" t="s">
        <v>470</v>
      </c>
      <c r="C18" s="6" t="s">
        <v>484</v>
      </c>
      <c r="D18" s="6" t="s">
        <v>485</v>
      </c>
      <c r="E18" s="12" t="s">
        <v>13</v>
      </c>
      <c r="F18" s="6" t="s">
        <v>486</v>
      </c>
      <c r="G18" s="6" t="s">
        <v>487</v>
      </c>
      <c r="H18" s="19"/>
    </row>
    <row r="19" customFormat="false" ht="15" hidden="false" customHeight="false" outlineLevel="0" collapsed="false">
      <c r="A19" s="7" t="s">
        <v>488</v>
      </c>
      <c r="B19" s="6" t="s">
        <v>470</v>
      </c>
      <c r="C19" s="6" t="s">
        <v>489</v>
      </c>
      <c r="D19" s="6" t="s">
        <v>490</v>
      </c>
      <c r="E19" s="14" t="s">
        <v>14</v>
      </c>
      <c r="F19" s="6" t="s">
        <v>491</v>
      </c>
      <c r="G19" s="6" t="s">
        <v>76</v>
      </c>
      <c r="H19" s="6" t="s">
        <v>492</v>
      </c>
    </row>
    <row r="20" customFormat="false" ht="15" hidden="false" customHeight="false" outlineLevel="0" collapsed="false">
      <c r="A20" s="7" t="s">
        <v>493</v>
      </c>
      <c r="B20" s="6" t="s">
        <v>470</v>
      </c>
      <c r="C20" s="6" t="s">
        <v>494</v>
      </c>
      <c r="D20" s="6" t="s">
        <v>495</v>
      </c>
      <c r="E20" s="12" t="s">
        <v>13</v>
      </c>
      <c r="F20" s="19" t="s">
        <v>496</v>
      </c>
      <c r="G20" s="6" t="s">
        <v>121</v>
      </c>
      <c r="H20" s="6" t="s">
        <v>497</v>
      </c>
    </row>
    <row r="21" customFormat="false" ht="23.85" hidden="false" customHeight="false" outlineLevel="0" collapsed="false">
      <c r="A21" s="7" t="s">
        <v>498</v>
      </c>
      <c r="B21" s="6" t="s">
        <v>470</v>
      </c>
      <c r="C21" s="6" t="s">
        <v>499</v>
      </c>
      <c r="D21" s="6" t="s">
        <v>500</v>
      </c>
      <c r="E21" s="12" t="s">
        <v>13</v>
      </c>
      <c r="F21" s="19" t="s">
        <v>501</v>
      </c>
      <c r="G21" s="6" t="s">
        <v>121</v>
      </c>
      <c r="H21" s="6" t="s">
        <v>502</v>
      </c>
    </row>
    <row r="22" customFormat="false" ht="15" hidden="false" customHeight="false" outlineLevel="0" collapsed="false">
      <c r="A22" s="16" t="s">
        <v>503</v>
      </c>
      <c r="B22" s="18" t="s">
        <v>504</v>
      </c>
      <c r="C22" s="18" t="s">
        <v>505</v>
      </c>
      <c r="D22" s="18" t="s">
        <v>506</v>
      </c>
      <c r="E22" s="12" t="s">
        <v>13</v>
      </c>
      <c r="F22" s="17" t="s">
        <v>507</v>
      </c>
      <c r="G22" s="18" t="s">
        <v>508</v>
      </c>
      <c r="H22" s="17" t="s">
        <v>509</v>
      </c>
    </row>
    <row r="23" customFormat="false" ht="15" hidden="false" customHeight="false" outlineLevel="0" collapsed="false">
      <c r="A23" s="7" t="s">
        <v>510</v>
      </c>
      <c r="B23" s="6" t="s">
        <v>504</v>
      </c>
      <c r="C23" s="19" t="s">
        <v>511</v>
      </c>
      <c r="D23" s="6" t="s">
        <v>512</v>
      </c>
      <c r="E23" s="12" t="s">
        <v>13</v>
      </c>
      <c r="F23" s="6" t="s">
        <v>513</v>
      </c>
      <c r="G23" s="19" t="s">
        <v>115</v>
      </c>
      <c r="H23" s="6" t="s">
        <v>514</v>
      </c>
    </row>
  </sheetData>
  <autoFilter ref="A1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2026-07-19T16:56:22Z</dcterms:created>
  <dc:creator>openpyxl</dc:creator>
  <dc:description/>
  <dc:language>ko-KR</dc:language>
  <cp:lastModifiedBy/>
  <dcterms:modified xsi:type="dcterms:W3CDTF">2026-07-19T16:56:22Z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